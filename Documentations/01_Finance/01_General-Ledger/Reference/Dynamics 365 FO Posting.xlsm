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CCC7F4F3-5190-4C9F-9AEB-67BE78E3C9E8}" xr6:coauthVersionLast="47" xr6:coauthVersionMax="47" xr10:uidLastSave="{00000000-0000-0000-0000-000000000000}"/>
  <bookViews>
    <workbookView xWindow="-110" yWindow="-110" windowWidth="19420" windowHeight="10420" activeTab="4" xr2:uid="{560A64D8-65C2-49B1-8E42-26A4A5DB6CA5}"/>
  </bookViews>
  <sheets>
    <sheet name="PROD POST" sheetId="2" r:id="rId1"/>
    <sheet name="Purchasing" sheetId="3" r:id="rId2"/>
    <sheet name="Sales" sheetId="5" r:id="rId3"/>
    <sheet name="Inventory" sheetId="6" r:id="rId4"/>
    <sheet name="Project-FP" sheetId="7" r:id="rId5"/>
    <sheet name="Project-TM" sheetId="8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7" l="1"/>
  <c r="K25" i="7"/>
  <c r="K24" i="7"/>
  <c r="K5" i="7"/>
  <c r="K14" i="7"/>
  <c r="K9" i="8"/>
  <c r="K12" i="8"/>
  <c r="K11" i="8"/>
  <c r="K10" i="8"/>
  <c r="K23" i="8"/>
  <c r="K22" i="8"/>
  <c r="K21" i="8"/>
  <c r="K19" i="8"/>
  <c r="K15" i="8"/>
  <c r="K6" i="8"/>
  <c r="K5" i="8"/>
  <c r="K4" i="8"/>
  <c r="K6" i="7"/>
  <c r="K7" i="7"/>
  <c r="K19" i="7"/>
  <c r="K22" i="7"/>
  <c r="K20" i="7"/>
  <c r="K13" i="7"/>
  <c r="K12" i="7"/>
  <c r="K4" i="7"/>
  <c r="L13" i="6"/>
  <c r="L23" i="6" s="1"/>
  <c r="L9" i="6"/>
  <c r="L5" i="6"/>
  <c r="L4" i="6"/>
  <c r="L14" i="5"/>
  <c r="L13" i="5"/>
  <c r="L7" i="5"/>
  <c r="L6" i="5"/>
  <c r="L5" i="5"/>
  <c r="L4" i="5"/>
  <c r="L5" i="3"/>
  <c r="L4" i="3"/>
  <c r="L8" i="3"/>
  <c r="L7" i="3"/>
  <c r="L21" i="3"/>
  <c r="L14" i="2"/>
  <c r="L11" i="2"/>
  <c r="L6" i="2"/>
  <c r="L7" i="2"/>
  <c r="L13" i="2"/>
  <c r="L4" i="2"/>
  <c r="L8" i="2"/>
  <c r="K29" i="8" l="1"/>
  <c r="K30" i="7"/>
  <c r="L23" i="5"/>
  <c r="L5" i="2"/>
  <c r="L9" i="2"/>
  <c r="L10" i="2" l="1"/>
  <c r="L19" i="2"/>
  <c r="L29" i="2" s="1"/>
  <c r="L12" i="2" l="1"/>
  <c r="L16" i="2" l="1"/>
</calcChain>
</file>

<file path=xl/sharedStrings.xml><?xml version="1.0" encoding="utf-8"?>
<sst xmlns="http://schemas.openxmlformats.org/spreadsheetml/2006/main" count="444" uniqueCount="126">
  <si>
    <t>Dr</t>
  </si>
  <si>
    <t>Cr</t>
  </si>
  <si>
    <t>WIP</t>
  </si>
  <si>
    <t>Inventory Control</t>
  </si>
  <si>
    <t xml:space="preserve">Start </t>
  </si>
  <si>
    <t>Route Card</t>
  </si>
  <si>
    <t>Picking ist</t>
  </si>
  <si>
    <t>RAF</t>
  </si>
  <si>
    <t>END</t>
  </si>
  <si>
    <t>Posting Type</t>
  </si>
  <si>
    <t xml:space="preserve">Account </t>
  </si>
  <si>
    <t>Amount</t>
  </si>
  <si>
    <t>COA - CHART OF ACCOUNTS</t>
  </si>
  <si>
    <t>Balance Sheet</t>
  </si>
  <si>
    <t>Account Name</t>
  </si>
  <si>
    <t>Profit &amp; Loss</t>
  </si>
  <si>
    <t>Account</t>
  </si>
  <si>
    <t>Total</t>
  </si>
  <si>
    <t>Type</t>
  </si>
  <si>
    <t>Expense</t>
  </si>
  <si>
    <t>Overhead</t>
  </si>
  <si>
    <t>Estimated indirect cost absorbed</t>
  </si>
  <si>
    <r>
      <t xml:space="preserve">Estimated cost of indirect cost consumed, WIP </t>
    </r>
    <r>
      <rPr>
        <b/>
        <sz val="11"/>
        <color rgb="FFFF0000"/>
        <rFont val="Calibri"/>
        <family val="2"/>
        <scheme val="minor"/>
      </rPr>
      <t>(WIP)</t>
    </r>
  </si>
  <si>
    <t>Indirect cost absorbed</t>
  </si>
  <si>
    <r>
      <t xml:space="preserve">Cost of indirect cost consumed, WIP        </t>
    </r>
    <r>
      <rPr>
        <b/>
        <sz val="11"/>
        <color rgb="FFFF0000"/>
        <rFont val="Calibri"/>
        <family val="2"/>
        <scheme val="minor"/>
      </rPr>
      <t>(WIP)</t>
    </r>
  </si>
  <si>
    <t>Estimated cost of materials consumed</t>
  </si>
  <si>
    <t>Estimated manufactured cost</t>
  </si>
  <si>
    <r>
      <t xml:space="preserve">Estimated manufactured cost, WIP                </t>
    </r>
    <r>
      <rPr>
        <b/>
        <sz val="11"/>
        <color rgb="FFFF0000"/>
        <rFont val="Calibri"/>
        <family val="2"/>
        <scheme val="minor"/>
      </rPr>
      <t>(WIP)</t>
    </r>
  </si>
  <si>
    <t>Cost of materials consumed</t>
  </si>
  <si>
    <t>Estimated manufacturing cost absorbed</t>
  </si>
  <si>
    <r>
      <t xml:space="preserve">Estimated cost of manufacturing consumed, WIP </t>
    </r>
    <r>
      <rPr>
        <b/>
        <sz val="11"/>
        <color rgb="FFFF0000"/>
        <rFont val="Calibri"/>
        <family val="2"/>
        <scheme val="minor"/>
      </rPr>
      <t>(WIP)</t>
    </r>
  </si>
  <si>
    <t>Manufacturing cost absorbed</t>
  </si>
  <si>
    <r>
      <rPr>
        <sz val="11"/>
        <rFont val="Calibri"/>
        <family val="2"/>
        <scheme val="minor"/>
      </rPr>
      <t>Cost of manufacturing consumed, WIP</t>
    </r>
    <r>
      <rPr>
        <b/>
        <sz val="11"/>
        <color rgb="FFFF0000"/>
        <rFont val="Calibri"/>
        <family val="2"/>
        <scheme val="minor"/>
      </rPr>
      <t xml:space="preserve"> (WIP)</t>
    </r>
  </si>
  <si>
    <r>
      <t xml:space="preserve">Estimated cost of materials consumed, WIP    </t>
    </r>
    <r>
      <rPr>
        <b/>
        <sz val="11"/>
        <color rgb="FFFF0000"/>
        <rFont val="Calibri"/>
        <family val="2"/>
        <scheme val="minor"/>
      </rPr>
      <t>(WIP)</t>
    </r>
  </si>
  <si>
    <t>manufactured cost</t>
  </si>
  <si>
    <t>Asset-Inventory - RM</t>
  </si>
  <si>
    <t>Asset-Inventory - FG</t>
  </si>
  <si>
    <r>
      <t xml:space="preserve">Cost of materials consumed -manufactured cost - Cost of indirect cost consumed , cost of manfacturing consumed </t>
    </r>
    <r>
      <rPr>
        <b/>
        <sz val="11"/>
        <color rgb="FFFF0000"/>
        <rFont val="Calibri"/>
        <family val="2"/>
        <scheme val="minor"/>
      </rPr>
      <t>(WIP)</t>
    </r>
  </si>
  <si>
    <t>Indirect Cost Absorbed , Electricity</t>
  </si>
  <si>
    <t>payroll</t>
  </si>
  <si>
    <t>Indirect Cost Absorbed , Maintenance</t>
  </si>
  <si>
    <t>Indirect Cost Absorbed , Rental</t>
  </si>
  <si>
    <t>5000001,2,3</t>
  </si>
  <si>
    <t xml:space="preserve">Product Receiving </t>
  </si>
  <si>
    <t xml:space="preserve">Invoice </t>
  </si>
  <si>
    <t>Cost of purchased materials received</t>
  </si>
  <si>
    <t>Purchased accrual</t>
  </si>
  <si>
    <t>Physical Voucher</t>
  </si>
  <si>
    <t>Financial Voucher</t>
  </si>
  <si>
    <t>Cost of purchased materials invoiced</t>
  </si>
  <si>
    <t>Vendor Balance</t>
  </si>
  <si>
    <t>Asset , Intermediatte</t>
  </si>
  <si>
    <t>Asset , Inventory</t>
  </si>
  <si>
    <t>liability</t>
  </si>
  <si>
    <t xml:space="preserve">Packing Slip  </t>
  </si>
  <si>
    <t>Invoice</t>
  </si>
  <si>
    <t>Cost of units, delivered</t>
  </si>
  <si>
    <t>Cost of goods sold, delivered</t>
  </si>
  <si>
    <t>Cost of units, invoiced</t>
  </si>
  <si>
    <t>Cost of goods sold, Invoiced</t>
  </si>
  <si>
    <t>Customer Balance</t>
  </si>
  <si>
    <t xml:space="preserve">Revenue </t>
  </si>
  <si>
    <t>Asset , inventory</t>
  </si>
  <si>
    <t>Asset</t>
  </si>
  <si>
    <t>Revenue</t>
  </si>
  <si>
    <t>Inventory Issue</t>
  </si>
  <si>
    <t>Inventory Receipt</t>
  </si>
  <si>
    <t>Inventory Expenditure ,Loss</t>
  </si>
  <si>
    <t>Inventory Expenditure ,Profit</t>
  </si>
  <si>
    <t>Inter-Unit,Receivable</t>
  </si>
  <si>
    <t>Inter-Unit,Payable</t>
  </si>
  <si>
    <t>Liability</t>
  </si>
  <si>
    <t>-Ve Inventory Adj / Stock Counting</t>
  </si>
  <si>
    <t>+Ve Inventory Adj / Stock Counting</t>
  </si>
  <si>
    <t xml:space="preserve">Adjustment Or    Counting </t>
  </si>
  <si>
    <t>Transfer Order Shimpment</t>
  </si>
  <si>
    <t>Transfer Order Receipt</t>
  </si>
  <si>
    <t>Transfer Order</t>
  </si>
  <si>
    <t>Inventory Expenditure ,Profit &amp; Loss</t>
  </si>
  <si>
    <t>Inventory Issue &amp; Receipt</t>
  </si>
  <si>
    <t>Cost</t>
  </si>
  <si>
    <t>Transaction Type</t>
  </si>
  <si>
    <t>Item Journal</t>
  </si>
  <si>
    <t>Hour Journal</t>
  </si>
  <si>
    <t>Inventory</t>
  </si>
  <si>
    <t>Project - payroll allocation</t>
  </si>
  <si>
    <t xml:space="preserve">Offset </t>
  </si>
  <si>
    <t>Wip - Cost Value</t>
  </si>
  <si>
    <t>Expense  Journal</t>
  </si>
  <si>
    <t>Wip - Cost Value-item</t>
  </si>
  <si>
    <t xml:space="preserve">Item Journal </t>
  </si>
  <si>
    <t>Project - cost item</t>
  </si>
  <si>
    <t>Project - cost</t>
  </si>
  <si>
    <t>Sales Revenue</t>
  </si>
  <si>
    <t>Wip -Sales Value</t>
  </si>
  <si>
    <t>Estimate</t>
  </si>
  <si>
    <t>Wip - Sales Value</t>
  </si>
  <si>
    <t>Eliminate</t>
  </si>
  <si>
    <t>Elimination</t>
  </si>
  <si>
    <t>Wip- Invoiced On Account</t>
  </si>
  <si>
    <t xml:space="preserve">Invoicing </t>
  </si>
  <si>
    <t>Countra-Expense</t>
  </si>
  <si>
    <t>1st Milestonoe =10,000</t>
  </si>
  <si>
    <t>2nd Milestonoe =10,000</t>
  </si>
  <si>
    <t>3rd Milestonoe =10,000</t>
  </si>
  <si>
    <t>Contract Value = 30,000</t>
  </si>
  <si>
    <t>Total Cost=10,800</t>
  </si>
  <si>
    <t>Invoiced Revenue</t>
  </si>
  <si>
    <t>Estimated cost of materials consumed, WIP        (WIP)</t>
  </si>
  <si>
    <t>Estimated cost of indirect cost consumed, WIP (WIP)</t>
  </si>
  <si>
    <t>Cost of materials consumed , WIP        (WIP)</t>
  </si>
  <si>
    <t>Estimated manufactured cost, WIP                (WIP)</t>
  </si>
  <si>
    <t>manufactured cost, WIP              (WIP)</t>
  </si>
  <si>
    <t>Customer payment retention receivable</t>
  </si>
  <si>
    <t>Customer balance</t>
  </si>
  <si>
    <t>Advance Invoice</t>
  </si>
  <si>
    <t>Retention Release</t>
  </si>
  <si>
    <t>Delivery Invoice</t>
  </si>
  <si>
    <t>Sales Tax - Payable</t>
  </si>
  <si>
    <t>WIP invoiced - on account (Advances from Customers)</t>
  </si>
  <si>
    <t>Advances from Customers- WIP invoiced - on account</t>
  </si>
  <si>
    <t>Revenue Recognition</t>
  </si>
  <si>
    <t>POC =</t>
  </si>
  <si>
    <t>Wip - invoiced on-account (accrued Rev)</t>
  </si>
  <si>
    <t>Retention : 10%</t>
  </si>
  <si>
    <t>Item Requirement Packing Slip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</si>
</sst>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6"/>
      <color rgb="FFFF0000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</font>
    <font>
      <u/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5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8" borderId="0" applyNumberFormat="0" applyBorder="0" applyAlignment="0" applyProtection="0"/>
    <xf numFmtId="0" fontId="12" fillId="15" borderId="0" applyNumberFormat="0" applyBorder="0" applyAlignment="0" applyProtection="0"/>
  </cellStyleXfs>
  <cellXfs count="2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6" xfId="0" applyBorder="1"/>
    <xf numFmtId="0" fontId="0" fillId="0" borderId="9" xfId="0" applyBorder="1"/>
    <xf numFmtId="0" fontId="0" fillId="0" borderId="8" xfId="0" applyBorder="1"/>
    <xf numFmtId="0" fontId="3" fillId="0" borderId="8" xfId="0" applyFont="1" applyBorder="1"/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14" fillId="0" borderId="0" xfId="0" applyFont="1"/>
    <xf numFmtId="0" fontId="3" fillId="0" borderId="0" xfId="0" applyFont="1"/>
    <xf numFmtId="0" fontId="14" fillId="0" borderId="1" xfId="0" applyFont="1" applyBorder="1"/>
    <xf numFmtId="0" fontId="0" fillId="4" borderId="31" xfId="0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11" xfId="0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4" fillId="0" borderId="32" xfId="0" applyFont="1" applyBorder="1"/>
    <xf numFmtId="0" fontId="0" fillId="0" borderId="32" xfId="0" applyBorder="1" applyAlignment="1">
      <alignment horizontal="center" vertical="center"/>
    </xf>
    <xf numFmtId="0" fontId="14" fillId="0" borderId="34" xfId="0" applyFont="1" applyBorder="1"/>
    <xf numFmtId="0" fontId="14" fillId="0" borderId="37" xfId="0" applyFont="1" applyBorder="1"/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34" xfId="0" applyBorder="1"/>
    <xf numFmtId="0" fontId="0" fillId="10" borderId="0" xfId="0" applyFill="1" applyAlignment="1">
      <alignment vertical="center" wrapText="1"/>
    </xf>
    <xf numFmtId="0" fontId="0" fillId="10" borderId="19" xfId="0" applyFill="1" applyBorder="1" applyAlignment="1">
      <alignment vertical="center" wrapText="1"/>
    </xf>
    <xf numFmtId="0" fontId="0" fillId="10" borderId="1" xfId="0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4" fillId="0" borderId="6" xfId="0" applyFont="1" applyBorder="1"/>
    <xf numFmtId="0" fontId="14" fillId="0" borderId="8" xfId="0" applyFont="1" applyBorder="1"/>
    <xf numFmtId="0" fontId="0" fillId="0" borderId="31" xfId="0" applyBorder="1" applyAlignment="1">
      <alignment horizontal="center" vertical="center"/>
    </xf>
    <xf numFmtId="0" fontId="14" fillId="0" borderId="17" xfId="0" applyFont="1" applyBorder="1"/>
    <xf numFmtId="0" fontId="12" fillId="8" borderId="6" xfId="1" applyBorder="1"/>
    <xf numFmtId="0" fontId="12" fillId="8" borderId="8" xfId="1" applyBorder="1"/>
    <xf numFmtId="0" fontId="0" fillId="0" borderId="16" xfId="0" applyBorder="1" applyAlignment="1">
      <alignment horizontal="center" vertical="center"/>
    </xf>
    <xf numFmtId="0" fontId="2" fillId="10" borderId="35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4" borderId="30" xfId="0" applyFill="1" applyBorder="1"/>
    <xf numFmtId="0" fontId="0" fillId="0" borderId="4" xfId="0" applyBorder="1" applyAlignment="1">
      <alignment horizontal="center"/>
    </xf>
    <xf numFmtId="0" fontId="12" fillId="10" borderId="1" xfId="1" applyFill="1" applyBorder="1"/>
    <xf numFmtId="0" fontId="0" fillId="0" borderId="38" xfId="0" applyBorder="1" applyAlignment="1">
      <alignment horizontal="left" vertical="center"/>
    </xf>
    <xf numFmtId="0" fontId="14" fillId="0" borderId="17" xfId="0" applyFont="1" applyBorder="1" applyAlignment="1">
      <alignment horizontal="left"/>
    </xf>
    <xf numFmtId="0" fontId="12" fillId="10" borderId="8" xfId="1" applyFill="1" applyBorder="1" applyAlignment="1">
      <alignment horizontal="left"/>
    </xf>
    <xf numFmtId="0" fontId="12" fillId="8" borderId="17" xfId="1" applyBorder="1" applyAlignment="1">
      <alignment horizontal="left"/>
    </xf>
    <xf numFmtId="0" fontId="12" fillId="8" borderId="38" xfId="1" applyBorder="1" applyAlignment="1">
      <alignment horizontal="left" vertical="center"/>
    </xf>
    <xf numFmtId="0" fontId="2" fillId="10" borderId="12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2" xfId="0" applyBorder="1"/>
    <xf numFmtId="0" fontId="0" fillId="0" borderId="52" xfId="0" applyBorder="1"/>
    <xf numFmtId="0" fontId="0" fillId="0" borderId="51" xfId="0" applyBorder="1"/>
    <xf numFmtId="0" fontId="2" fillId="0" borderId="4" xfId="0" applyFont="1" applyBorder="1" applyAlignment="1">
      <alignment horizontal="center"/>
    </xf>
    <xf numFmtId="0" fontId="0" fillId="5" borderId="30" xfId="0" applyFill="1" applyBorder="1" applyAlignment="1">
      <alignment horizontal="center" vertical="center"/>
    </xf>
    <xf numFmtId="0" fontId="0" fillId="0" borderId="32" xfId="0" applyBorder="1"/>
    <xf numFmtId="0" fontId="12" fillId="8" borderId="1" xfId="1" applyBorder="1"/>
    <xf numFmtId="0" fontId="0" fillId="0" borderId="1" xfId="0" applyBorder="1" applyAlignment="1">
      <alignment horizontal="left" vertical="center"/>
    </xf>
    <xf numFmtId="0" fontId="12" fillId="8" borderId="5" xfId="1" applyBorder="1"/>
    <xf numFmtId="0" fontId="12" fillId="8" borderId="10" xfId="1" applyBorder="1"/>
    <xf numFmtId="0" fontId="10" fillId="2" borderId="0" xfId="0" applyFont="1" applyFill="1"/>
    <xf numFmtId="0" fontId="0" fillId="0" borderId="21" xfId="0" applyBorder="1"/>
    <xf numFmtId="0" fontId="0" fillId="0" borderId="50" xfId="0" applyBorder="1"/>
    <xf numFmtId="0" fontId="0" fillId="0" borderId="23" xfId="0" applyBorder="1"/>
    <xf numFmtId="0" fontId="0" fillId="0" borderId="27" xfId="0" applyBorder="1"/>
    <xf numFmtId="0" fontId="10" fillId="5" borderId="45" xfId="0" applyFont="1" applyFill="1" applyBorder="1" applyAlignment="1">
      <alignment horizontal="center" vertical="center" wrapText="1"/>
    </xf>
    <xf numFmtId="0" fontId="12" fillId="8" borderId="34" xfId="1" applyBorder="1"/>
    <xf numFmtId="0" fontId="12" fillId="8" borderId="37" xfId="1" applyBorder="1"/>
    <xf numFmtId="0" fontId="0" fillId="10" borderId="34" xfId="0" applyFill="1" applyBorder="1" applyAlignment="1">
      <alignment horizontal="center" vertical="center"/>
    </xf>
    <xf numFmtId="0" fontId="0" fillId="10" borderId="37" xfId="0" applyFill="1" applyBorder="1" applyAlignment="1">
      <alignment horizontal="center" vertical="center"/>
    </xf>
    <xf numFmtId="0" fontId="12" fillId="7" borderId="8" xfId="1" applyFill="1" applyBorder="1" applyAlignment="1">
      <alignment horizontal="left"/>
    </xf>
    <xf numFmtId="0" fontId="0" fillId="7" borderId="6" xfId="0" applyFill="1" applyBorder="1" applyAlignment="1">
      <alignment horizontal="center" vertical="center"/>
    </xf>
    <xf numFmtId="0" fontId="0" fillId="7" borderId="6" xfId="0" applyFill="1" applyBorder="1" applyAlignment="1">
      <alignment horizontal="center"/>
    </xf>
    <xf numFmtId="0" fontId="0" fillId="7" borderId="38" xfId="0" applyFill="1" applyBorder="1" applyAlignment="1">
      <alignment horizontal="left" vertical="center"/>
    </xf>
    <xf numFmtId="0" fontId="0" fillId="7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/>
    </xf>
    <xf numFmtId="0" fontId="12" fillId="7" borderId="17" xfId="1" applyFill="1" applyBorder="1" applyAlignment="1">
      <alignment horizontal="left"/>
    </xf>
    <xf numFmtId="0" fontId="12" fillId="7" borderId="38" xfId="1" applyFill="1" applyBorder="1" applyAlignment="1">
      <alignment horizontal="left" vertical="center"/>
    </xf>
    <xf numFmtId="0" fontId="14" fillId="7" borderId="17" xfId="0" applyFont="1" applyFill="1" applyBorder="1" applyAlignment="1">
      <alignment horizontal="left"/>
    </xf>
    <xf numFmtId="0" fontId="12" fillId="7" borderId="6" xfId="1" applyFill="1" applyBorder="1"/>
    <xf numFmtId="0" fontId="12" fillId="7" borderId="8" xfId="1" applyFill="1" applyBorder="1"/>
    <xf numFmtId="0" fontId="0" fillId="0" borderId="24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12" fillId="8" borderId="16" xfId="1" applyBorder="1"/>
    <xf numFmtId="0" fontId="12" fillId="8" borderId="9" xfId="1" applyBorder="1"/>
    <xf numFmtId="0" fontId="2" fillId="0" borderId="28" xfId="0" applyFont="1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wrapText="1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53" xfId="0" applyFill="1" applyBorder="1" applyAlignment="1">
      <alignment horizontal="left" vertical="center"/>
    </xf>
    <xf numFmtId="0" fontId="0" fillId="7" borderId="17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12" fillId="7" borderId="5" xfId="1" applyFill="1" applyBorder="1"/>
    <xf numFmtId="0" fontId="12" fillId="7" borderId="10" xfId="1" applyFill="1" applyBorder="1"/>
    <xf numFmtId="0" fontId="0" fillId="7" borderId="9" xfId="0" applyFill="1" applyBorder="1" applyAlignment="1">
      <alignment horizontal="center" vertical="center"/>
    </xf>
    <xf numFmtId="0" fontId="12" fillId="7" borderId="26" xfId="1" applyFill="1" applyBorder="1"/>
    <xf numFmtId="0" fontId="12" fillId="7" borderId="9" xfId="1" applyFill="1" applyBorder="1"/>
    <xf numFmtId="0" fontId="12" fillId="14" borderId="37" xfId="1" applyFill="1" applyBorder="1"/>
    <xf numFmtId="10" fontId="1" fillId="0" borderId="55" xfId="0" applyNumberFormat="1" applyFont="1" applyBorder="1" applyAlignment="1">
      <alignment horizontal="center"/>
    </xf>
    <xf numFmtId="0" fontId="1" fillId="0" borderId="54" xfId="0" applyFont="1" applyBorder="1"/>
    <xf numFmtId="0" fontId="14" fillId="0" borderId="1" xfId="0" applyFont="1" applyBorder="1" applyAlignment="1">
      <alignment wrapText="1"/>
    </xf>
    <xf numFmtId="0" fontId="12" fillId="8" borderId="17" xfId="1" applyBorder="1"/>
    <xf numFmtId="0" fontId="0" fillId="0" borderId="15" xfId="0" applyBorder="1" applyAlignment="1">
      <alignment horizontal="center" vertical="center"/>
    </xf>
    <xf numFmtId="0" fontId="0" fillId="0" borderId="55" xfId="0" applyBorder="1"/>
    <xf numFmtId="0" fontId="1" fillId="0" borderId="54" xfId="0" applyFont="1" applyBorder="1" applyAlignment="1">
      <alignment horizontal="left" vertical="center"/>
    </xf>
    <xf numFmtId="0" fontId="0" fillId="0" borderId="2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9" xfId="0" applyBorder="1" applyAlignment="1">
      <alignment horizontal="center"/>
    </xf>
    <xf numFmtId="0" fontId="12" fillId="15" borderId="8" xfId="2" applyBorder="1"/>
    <xf numFmtId="10" fontId="0" fillId="0" borderId="0" xfId="0" applyNumberFormat="1"/>
    <xf numFmtId="0" fontId="10" fillId="0" borderId="0" xfId="0" applyFont="1"/>
    <xf numFmtId="0" fontId="2" fillId="0" borderId="0" xfId="0" applyFont="1" applyAlignment="1">
      <alignment horizontal="center" vertical="center"/>
    </xf>
    <xf numFmtId="0" fontId="2" fillId="10" borderId="56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8" xfId="0" applyFont="1" applyFill="1" applyBorder="1" applyAlignment="1">
      <alignment horizontal="center" vertical="center"/>
    </xf>
    <xf numFmtId="0" fontId="2" fillId="10" borderId="28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/>
    </xf>
    <xf numFmtId="0" fontId="9" fillId="6" borderId="21" xfId="0" applyFont="1" applyFill="1" applyBorder="1" applyAlignment="1">
      <alignment horizontal="center" vertical="center"/>
    </xf>
    <xf numFmtId="0" fontId="9" fillId="6" borderId="22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9" fillId="13" borderId="25" xfId="0" applyFont="1" applyFill="1" applyBorder="1" applyAlignment="1">
      <alignment horizontal="center" vertical="center"/>
    </xf>
    <xf numFmtId="0" fontId="9" fillId="13" borderId="23" xfId="0" applyFont="1" applyFill="1" applyBorder="1" applyAlignment="1">
      <alignment horizontal="center" vertical="center"/>
    </xf>
    <xf numFmtId="0" fontId="9" fillId="13" borderId="22" xfId="0" applyFont="1" applyFill="1" applyBorder="1" applyAlignment="1">
      <alignment horizontal="center" vertical="center"/>
    </xf>
    <xf numFmtId="0" fontId="9" fillId="13" borderId="21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5" borderId="7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9" fillId="13" borderId="5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10" xfId="0" applyFont="1" applyFill="1" applyBorder="1" applyAlignment="1">
      <alignment horizontal="center" vertical="center"/>
    </xf>
    <xf numFmtId="0" fontId="0" fillId="4" borderId="30" xfId="0" applyFill="1" applyBorder="1" applyAlignment="1">
      <alignment horizontal="center"/>
    </xf>
    <xf numFmtId="0" fontId="0" fillId="4" borderId="31" xfId="0" applyFill="1" applyBorder="1" applyAlignment="1">
      <alignment horizontal="center"/>
    </xf>
    <xf numFmtId="0" fontId="0" fillId="2" borderId="34" xfId="0" applyFill="1" applyBorder="1" applyAlignment="1">
      <alignment horizontal="center" vertical="center" wrapText="1"/>
    </xf>
    <xf numFmtId="0" fontId="0" fillId="2" borderId="37" xfId="0" applyFill="1" applyBorder="1" applyAlignment="1">
      <alignment horizontal="center" vertical="center" wrapText="1"/>
    </xf>
    <xf numFmtId="0" fontId="0" fillId="6" borderId="40" xfId="0" applyFill="1" applyBorder="1" applyAlignment="1">
      <alignment horizontal="center" vertical="center" wrapText="1"/>
    </xf>
    <xf numFmtId="0" fontId="0" fillId="6" borderId="32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6" borderId="41" xfId="0" applyFill="1" applyBorder="1" applyAlignment="1">
      <alignment horizontal="center" vertical="center" wrapText="1"/>
    </xf>
    <xf numFmtId="0" fontId="0" fillId="2" borderId="33" xfId="0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 wrapText="1"/>
    </xf>
    <xf numFmtId="0" fontId="0" fillId="7" borderId="33" xfId="0" applyFill="1" applyBorder="1" applyAlignment="1">
      <alignment horizontal="center" vertical="center" wrapText="1"/>
    </xf>
    <xf numFmtId="0" fontId="0" fillId="7" borderId="39" xfId="0" applyFill="1" applyBorder="1" applyAlignment="1">
      <alignment horizontal="center" vertical="center" wrapText="1"/>
    </xf>
    <xf numFmtId="0" fontId="0" fillId="7" borderId="3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6" borderId="42" xfId="0" applyFill="1" applyBorder="1" applyAlignment="1">
      <alignment horizontal="center" vertical="center" wrapText="1"/>
    </xf>
    <xf numFmtId="0" fontId="0" fillId="6" borderId="44" xfId="0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0" fillId="2" borderId="44" xfId="0" applyFill="1" applyBorder="1" applyAlignment="1">
      <alignment horizontal="center" vertical="center" wrapText="1"/>
    </xf>
    <xf numFmtId="0" fontId="0" fillId="6" borderId="46" xfId="0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49" fontId="0" fillId="6" borderId="48" xfId="0" applyNumberFormat="1" applyFill="1" applyBorder="1" applyAlignment="1">
      <alignment horizontal="center" vertical="center" wrapText="1"/>
    </xf>
    <xf numFmtId="49" fontId="0" fillId="6" borderId="49" xfId="0" applyNumberFormat="1" applyFill="1" applyBorder="1" applyAlignment="1">
      <alignment horizontal="center" vertical="center" wrapText="1"/>
    </xf>
    <xf numFmtId="0" fontId="13" fillId="7" borderId="21" xfId="0" applyFont="1" applyFill="1" applyBorder="1" applyAlignment="1">
      <alignment horizontal="center" vertical="center" wrapText="1"/>
    </xf>
    <xf numFmtId="0" fontId="13" fillId="7" borderId="22" xfId="0" applyFont="1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13" fillId="7" borderId="45" xfId="0" applyFont="1" applyFill="1" applyBorder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13" fillId="11" borderId="50" xfId="0" applyFont="1" applyFill="1" applyBorder="1" applyAlignment="1">
      <alignment horizontal="center" vertical="center" wrapText="1"/>
    </xf>
    <xf numFmtId="0" fontId="13" fillId="11" borderId="27" xfId="0" applyFont="1" applyFill="1" applyBorder="1" applyAlignment="1">
      <alignment horizontal="center" vertical="center" wrapText="1"/>
    </xf>
    <xf numFmtId="0" fontId="13" fillId="12" borderId="28" xfId="0" applyFont="1" applyFill="1" applyBorder="1" applyAlignment="1">
      <alignment horizontal="center" vertical="center" wrapText="1"/>
    </xf>
    <xf numFmtId="0" fontId="13" fillId="12" borderId="29" xfId="0" applyFont="1" applyFill="1" applyBorder="1" applyAlignment="1">
      <alignment horizontal="center" vertical="center" wrapText="1"/>
    </xf>
    <xf numFmtId="0" fontId="13" fillId="7" borderId="28" xfId="0" applyFont="1" applyFill="1" applyBorder="1" applyAlignment="1">
      <alignment horizontal="center" vertical="center" wrapText="1"/>
    </xf>
    <xf numFmtId="0" fontId="13" fillId="7" borderId="29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0" fillId="6" borderId="28" xfId="0" applyFill="1" applyBorder="1" applyAlignment="1">
      <alignment horizontal="center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29" xfId="0" applyFill="1" applyBorder="1" applyAlignment="1">
      <alignment horizontal="center" vertical="center" wrapText="1"/>
    </xf>
    <xf numFmtId="49" fontId="0" fillId="6" borderId="28" xfId="0" applyNumberFormat="1" applyFill="1" applyBorder="1" applyAlignment="1">
      <alignment horizontal="center" vertical="center" wrapText="1"/>
    </xf>
    <xf numFmtId="49" fontId="0" fillId="6" borderId="15" xfId="0" applyNumberFormat="1" applyFill="1" applyBorder="1" applyAlignment="1">
      <alignment horizontal="center" vertical="center" wrapText="1"/>
    </xf>
    <xf numFmtId="49" fontId="0" fillId="6" borderId="29" xfId="0" applyNumberFormat="1" applyFill="1" applyBorder="1" applyAlignment="1">
      <alignment horizontal="center" vertical="center" wrapText="1"/>
    </xf>
    <xf numFmtId="49" fontId="0" fillId="6" borderId="50" xfId="0" applyNumberFormat="1" applyFill="1" applyBorder="1" applyAlignment="1">
      <alignment horizontal="center" vertical="center" wrapText="1"/>
    </xf>
    <xf numFmtId="49" fontId="0" fillId="6" borderId="51" xfId="0" applyNumberFormat="1" applyFill="1" applyBorder="1" applyAlignment="1">
      <alignment horizontal="center" vertical="center" wrapText="1"/>
    </xf>
    <xf numFmtId="0" fontId="13" fillId="11" borderId="28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/>
    </xf>
    <xf numFmtId="0" fontId="13" fillId="11" borderId="29" xfId="0" applyFont="1" applyFill="1" applyBorder="1" applyAlignment="1">
      <alignment horizontal="center" vertical="center" wrapText="1"/>
    </xf>
    <xf numFmtId="0" fontId="13" fillId="7" borderId="50" xfId="0" applyFont="1" applyFill="1" applyBorder="1" applyAlignment="1">
      <alignment horizontal="center" vertical="center" wrapText="1"/>
    </xf>
    <xf numFmtId="0" fontId="13" fillId="7" borderId="27" xfId="0" applyFont="1" applyFill="1" applyBorder="1" applyAlignment="1">
      <alignment horizontal="center" vertical="center" wrapText="1"/>
    </xf>
    <xf numFmtId="0" fontId="13" fillId="7" borderId="23" xfId="0" applyFont="1" applyFill="1" applyBorder="1" applyAlignment="1">
      <alignment horizontal="center" vertical="center" wrapText="1"/>
    </xf>
  </cellXfs>
  <cellStyles count="3">
    <cellStyle name="20% - Accent1" xfId="1" builtinId="30"/>
    <cellStyle name="40% - Accent2" xfId="2" builtinId="3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8</xdr:row>
          <xdr:rowOff>31750</xdr:rowOff>
        </xdr:from>
        <xdr:to>
          <xdr:col>7</xdr:col>
          <xdr:colOff>457200</xdr:colOff>
          <xdr:row>10</xdr:row>
          <xdr:rowOff>127000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PW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10</xdr:row>
          <xdr:rowOff>317500</xdr:rowOff>
        </xdr:from>
        <xdr:to>
          <xdr:col>7</xdr:col>
          <xdr:colOff>457200</xdr:colOff>
          <xdr:row>12</xdr:row>
          <xdr:rowOff>31750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PW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222250</xdr:colOff>
          <xdr:row>2</xdr:row>
          <xdr:rowOff>184150</xdr:rowOff>
        </xdr:from>
        <xdr:to>
          <xdr:col>7</xdr:col>
          <xdr:colOff>450850</xdr:colOff>
          <xdr:row>7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PW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203200</xdr:colOff>
          <xdr:row>17</xdr:row>
          <xdr:rowOff>152400</xdr:rowOff>
        </xdr:from>
        <xdr:to>
          <xdr:col>7</xdr:col>
          <xdr:colOff>488950</xdr:colOff>
          <xdr:row>20</xdr:row>
          <xdr:rowOff>31750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PW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10</xdr:row>
          <xdr:rowOff>12700</xdr:rowOff>
        </xdr:from>
        <xdr:to>
          <xdr:col>2</xdr:col>
          <xdr:colOff>2489200</xdr:colOff>
          <xdr:row>10</xdr:row>
          <xdr:rowOff>584200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12</xdr:row>
          <xdr:rowOff>19050</xdr:rowOff>
        </xdr:from>
        <xdr:to>
          <xdr:col>2</xdr:col>
          <xdr:colOff>2495550</xdr:colOff>
          <xdr:row>14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10</xdr:row>
          <xdr:rowOff>590550</xdr:rowOff>
        </xdr:from>
        <xdr:to>
          <xdr:col>5</xdr:col>
          <xdr:colOff>127000</xdr:colOff>
          <xdr:row>13</xdr:row>
          <xdr:rowOff>31750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12</xdr:row>
          <xdr:rowOff>12700</xdr:rowOff>
        </xdr:from>
        <xdr:to>
          <xdr:col>2</xdr:col>
          <xdr:colOff>2489200</xdr:colOff>
          <xdr:row>12</xdr:row>
          <xdr:rowOff>584200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Issue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14</xdr:row>
          <xdr:rowOff>19050</xdr:rowOff>
        </xdr:from>
        <xdr:to>
          <xdr:col>2</xdr:col>
          <xdr:colOff>2495550</xdr:colOff>
          <xdr:row>16</xdr:row>
          <xdr:rowOff>184150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13</xdr:row>
          <xdr:rowOff>12700</xdr:rowOff>
        </xdr:from>
        <xdr:to>
          <xdr:col>5</xdr:col>
          <xdr:colOff>247650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W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9</xdr:row>
          <xdr:rowOff>76200</xdr:rowOff>
        </xdr:from>
        <xdr:to>
          <xdr:col>2</xdr:col>
          <xdr:colOff>1060450</xdr:colOff>
          <xdr:row>11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+Ve Inventory Adj or Stock Counting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11</xdr:row>
          <xdr:rowOff>127000</xdr:rowOff>
        </xdr:from>
        <xdr:to>
          <xdr:col>2</xdr:col>
          <xdr:colOff>1060450</xdr:colOff>
          <xdr:row>13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-Ve Inventory Adj or Stock Counting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1314450</xdr:colOff>
          <xdr:row>9</xdr:row>
          <xdr:rowOff>76200</xdr:rowOff>
        </xdr:from>
        <xdr:to>
          <xdr:col>5</xdr:col>
          <xdr:colOff>603250</xdr:colOff>
          <xdr:row>11</xdr:row>
          <xdr:rowOff>57150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Order Shipment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203200</xdr:rowOff>
        </xdr:from>
        <xdr:to>
          <xdr:col>2</xdr:col>
          <xdr:colOff>2590800</xdr:colOff>
          <xdr:row>16</xdr:row>
          <xdr:rowOff>31750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1314450</xdr:colOff>
          <xdr:row>11</xdr:row>
          <xdr:rowOff>114300</xdr:rowOff>
        </xdr:from>
        <xdr:to>
          <xdr:col>5</xdr:col>
          <xdr:colOff>590550</xdr:colOff>
          <xdr:row>13</xdr:row>
          <xdr:rowOff>88900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Order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25</xdr:row>
          <xdr:rowOff>19050</xdr:rowOff>
        </xdr:from>
        <xdr:to>
          <xdr:col>1</xdr:col>
          <xdr:colOff>1562100</xdr:colOff>
          <xdr:row>26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Item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25</xdr:row>
          <xdr:rowOff>12700</xdr:rowOff>
        </xdr:from>
        <xdr:to>
          <xdr:col>3</xdr:col>
          <xdr:colOff>431800</xdr:colOff>
          <xdr:row>26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hour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1638300</xdr:colOff>
          <xdr:row>25</xdr:row>
          <xdr:rowOff>12700</xdr:rowOff>
        </xdr:from>
        <xdr:to>
          <xdr:col>2</xdr:col>
          <xdr:colOff>1231900</xdr:colOff>
          <xdr:row>25</xdr:row>
          <xdr:rowOff>203200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Expense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26</xdr:row>
          <xdr:rowOff>69850</xdr:rowOff>
        </xdr:from>
        <xdr:to>
          <xdr:col>1</xdr:col>
          <xdr:colOff>1562100</xdr:colOff>
          <xdr:row>27</xdr:row>
          <xdr:rowOff>38100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Revenue Recognition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1631950</xdr:colOff>
          <xdr:row>26</xdr:row>
          <xdr:rowOff>76200</xdr:rowOff>
        </xdr:from>
        <xdr:to>
          <xdr:col>2</xdr:col>
          <xdr:colOff>1231900</xdr:colOff>
          <xdr:row>27</xdr:row>
          <xdr:rowOff>57150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Invoice\Advance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25</xdr:row>
          <xdr:rowOff>19050</xdr:rowOff>
        </xdr:from>
        <xdr:to>
          <xdr:col>6</xdr:col>
          <xdr:colOff>203200</xdr:colOff>
          <xdr:row>26</xdr:row>
          <xdr:rowOff>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8465</xdr:colOff>
      <xdr:row>18</xdr:row>
      <xdr:rowOff>29632</xdr:rowOff>
    </xdr:from>
    <xdr:ext cx="1917701" cy="3302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2020548" y="2971799"/>
              <a:ext cx="1917701" cy="330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𝐀𝐜𝐭𝐮𝐚𝐥</m:t>
                        </m:r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𝐂𝐨𝐬𝐭</m:t>
                        </m:r>
                      </m:num>
                      <m:den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𝐓𝐨𝐭𝐚𝐥</m:t>
                        </m:r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n-US" sz="1100" b="1" i="0">
                            <a:latin typeface="Cambria Math" panose="02040503050406030204" pitchFamily="18" charset="0"/>
                          </a:rPr>
                          <m:t>𝐂𝐨𝐬𝐭</m:t>
                        </m:r>
                      </m:den>
                    </m:f>
                    <m:r>
                      <a:rPr lang="en-US" sz="1100" b="1" i="0">
                        <a:latin typeface="Cambria Math" panose="02040503050406030204" pitchFamily="18" charset="0"/>
                      </a:rPr>
                      <m:t>𝐱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𝐂𝐨𝐧𝐭𝐫𝐚𝐜𝐭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𝐕𝐚𝐥𝐮𝐞</m:t>
                    </m:r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C57DDBC-BDE0-DFF9-48E5-F28BFD73AEEA}"/>
                </a:ext>
              </a:extLst>
            </xdr:cNvPr>
            <xdr:cNvSpPr txBox="1"/>
          </xdr:nvSpPr>
          <xdr:spPr>
            <a:xfrm>
              <a:off x="12020548" y="2971799"/>
              <a:ext cx="1917701" cy="330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b="1" i="0">
                  <a:latin typeface="Cambria Math" panose="02040503050406030204" pitchFamily="18" charset="0"/>
                </a:rPr>
                <a:t>(𝐀𝐜𝐭𝐮𝐚𝐥 𝐂𝐨𝐬𝐭)/(𝐓𝐨𝐭𝐚𝐥 𝐂𝐨𝐬𝐭) 𝐱 𝐂𝐨𝐧𝐭𝐫𝐚𝐜𝐭 𝐕𝐚𝐥𝐮𝐞</a:t>
              </a:r>
              <a:endParaRPr lang="en-US" sz="1100" b="1" i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298450</xdr:colOff>
          <xdr:row>25</xdr:row>
          <xdr:rowOff>165100</xdr:rowOff>
        </xdr:from>
        <xdr:to>
          <xdr:col>0</xdr:col>
          <xdr:colOff>1536700</xdr:colOff>
          <xdr:row>27</xdr:row>
          <xdr:rowOff>38100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4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en-PW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508000</xdr:colOff>
          <xdr:row>26</xdr:row>
          <xdr:rowOff>76200</xdr:rowOff>
        </xdr:from>
        <xdr:to>
          <xdr:col>6</xdr:col>
          <xdr:colOff>209550</xdr:colOff>
          <xdr:row>27</xdr:row>
          <xdr:rowOff>69850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4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 with Retention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1327150</xdr:colOff>
          <xdr:row>26</xdr:row>
          <xdr:rowOff>69850</xdr:rowOff>
        </xdr:from>
        <xdr:to>
          <xdr:col>3</xdr:col>
          <xdr:colOff>438150</xdr:colOff>
          <xdr:row>27</xdr:row>
          <xdr:rowOff>57150</xdr:rowOff>
        </xdr:to>
        <xdr:sp macro="" textlink="">
          <xdr:nvSpPr>
            <xdr:cNvPr id="7180" name="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4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Release Retention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27</xdr:row>
          <xdr:rowOff>114300</xdr:rowOff>
        </xdr:from>
        <xdr:to>
          <xdr:col>1</xdr:col>
          <xdr:colOff>1555750</xdr:colOff>
          <xdr:row>28</xdr:row>
          <xdr:rowOff>76200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4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Item Requirement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23</xdr:row>
          <xdr:rowOff>203200</xdr:rowOff>
        </xdr:from>
        <xdr:to>
          <xdr:col>1</xdr:col>
          <xdr:colOff>1536700</xdr:colOff>
          <xdr:row>24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Item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355600</xdr:colOff>
          <xdr:row>23</xdr:row>
          <xdr:rowOff>203200</xdr:rowOff>
        </xdr:from>
        <xdr:to>
          <xdr:col>5</xdr:col>
          <xdr:colOff>546100</xdr:colOff>
          <xdr:row>24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hour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24</xdr:row>
          <xdr:rowOff>12700</xdr:rowOff>
        </xdr:from>
        <xdr:to>
          <xdr:col>2</xdr:col>
          <xdr:colOff>2279650</xdr:colOff>
          <xdr:row>24</xdr:row>
          <xdr:rowOff>203200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PW" sz="1100" b="0" i="0" u="sng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Expense Journal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</xdr:colOff>
          <xdr:row>25</xdr:row>
          <xdr:rowOff>184150</xdr:rowOff>
        </xdr:from>
        <xdr:to>
          <xdr:col>2</xdr:col>
          <xdr:colOff>2286000</xdr:colOff>
          <xdr:row>28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Delivery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25</xdr:row>
          <xdr:rowOff>57150</xdr:rowOff>
        </xdr:from>
        <xdr:to>
          <xdr:col>0</xdr:col>
          <xdr:colOff>1447800</xdr:colOff>
          <xdr:row>26</xdr:row>
          <xdr:rowOff>133350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37160" rIns="91440" bIns="137160" anchor="ctr" upright="1"/>
            <a:lstStyle/>
            <a:p>
              <a:pPr algn="ctr" rtl="0">
                <a:defRPr sz="1000"/>
              </a:pPr>
              <a:r>
                <a:rPr lang="en-PW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26</xdr:row>
          <xdr:rowOff>31750</xdr:rowOff>
        </xdr:from>
        <xdr:to>
          <xdr:col>1</xdr:col>
          <xdr:colOff>1536700</xdr:colOff>
          <xdr:row>27</xdr:row>
          <xdr:rowOff>184150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5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Post Advance Inv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25</xdr:row>
          <xdr:rowOff>203200</xdr:rowOff>
        </xdr:from>
        <xdr:to>
          <xdr:col>5</xdr:col>
          <xdr:colOff>514350</xdr:colOff>
          <xdr:row>28</xdr:row>
          <xdr:rowOff>19050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5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Retention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6CC06-1D2E-4C3B-A889-C75E22878F4B}">
  <sheetPr codeName="Sheet2"/>
  <dimension ref="A1:L31"/>
  <sheetViews>
    <sheetView zoomScale="70" zoomScaleNormal="70" workbookViewId="0">
      <selection activeCell="B27" sqref="B27:C27"/>
    </sheetView>
  </sheetViews>
  <sheetFormatPr defaultRowHeight="14.5" x14ac:dyDescent="0.35"/>
  <cols>
    <col min="1" max="1" width="12.54296875" bestFit="1" customWidth="1"/>
    <col min="2" max="2" width="13.453125" customWidth="1"/>
    <col min="3" max="3" width="54.453125" customWidth="1"/>
    <col min="4" max="4" width="5.54296875" style="5" customWidth="1"/>
    <col min="5" max="5" width="16" style="5" customWidth="1"/>
    <col min="6" max="6" width="9.81640625" style="5" customWidth="1"/>
    <col min="9" max="9" width="53.7265625" customWidth="1"/>
    <col min="10" max="10" width="25.81640625" style="3" customWidth="1"/>
    <col min="11" max="11" width="14.7265625" customWidth="1"/>
    <col min="12" max="12" width="11.54296875" customWidth="1"/>
  </cols>
  <sheetData>
    <row r="1" spans="1:12" ht="16" thickBot="1" x14ac:dyDescent="0.4">
      <c r="A1" s="164"/>
      <c r="B1" s="165"/>
      <c r="C1" s="26" t="s">
        <v>9</v>
      </c>
      <c r="D1" s="27"/>
      <c r="E1" s="28" t="s">
        <v>10</v>
      </c>
      <c r="F1" s="39" t="s">
        <v>11</v>
      </c>
      <c r="I1" s="164" t="s">
        <v>12</v>
      </c>
      <c r="J1" s="166"/>
      <c r="K1" s="166"/>
      <c r="L1" s="165"/>
    </row>
    <row r="2" spans="1:12" ht="16" thickBot="1" x14ac:dyDescent="0.4">
      <c r="A2" s="158" t="s">
        <v>4</v>
      </c>
      <c r="B2" s="176" t="s">
        <v>6</v>
      </c>
      <c r="C2" s="115" t="s">
        <v>25</v>
      </c>
      <c r="D2" s="64" t="s">
        <v>1</v>
      </c>
      <c r="E2" s="15">
        <v>1100000</v>
      </c>
      <c r="F2" s="117">
        <v>0</v>
      </c>
      <c r="I2" s="167" t="s">
        <v>13</v>
      </c>
      <c r="J2" s="168"/>
      <c r="K2" s="168"/>
      <c r="L2" s="169"/>
    </row>
    <row r="3" spans="1:12" ht="16" thickBot="1" x14ac:dyDescent="0.4">
      <c r="A3" s="158"/>
      <c r="B3" s="177"/>
      <c r="C3" s="63" t="s">
        <v>108</v>
      </c>
      <c r="D3" s="9" t="s">
        <v>0</v>
      </c>
      <c r="E3" s="24">
        <v>1110000</v>
      </c>
      <c r="F3" s="117">
        <v>0</v>
      </c>
      <c r="I3" s="22" t="s">
        <v>14</v>
      </c>
      <c r="J3" s="22" t="s">
        <v>18</v>
      </c>
      <c r="K3" s="22" t="s">
        <v>16</v>
      </c>
      <c r="L3" s="22" t="s">
        <v>11</v>
      </c>
    </row>
    <row r="4" spans="1:12" ht="16" thickBot="1" x14ac:dyDescent="0.4">
      <c r="A4" s="158"/>
      <c r="B4" s="178" t="s">
        <v>5</v>
      </c>
      <c r="C4" s="16" t="s">
        <v>29</v>
      </c>
      <c r="D4" s="8" t="s">
        <v>1</v>
      </c>
      <c r="E4" s="25">
        <v>1200000</v>
      </c>
      <c r="F4" s="117">
        <v>0</v>
      </c>
      <c r="I4" s="1" t="s">
        <v>25</v>
      </c>
      <c r="J4" s="2" t="s">
        <v>3</v>
      </c>
      <c r="K4" s="4">
        <v>1100000</v>
      </c>
      <c r="L4" s="11">
        <f>F2+F10</f>
        <v>0</v>
      </c>
    </row>
    <row r="5" spans="1:12" ht="16" thickBot="1" x14ac:dyDescent="0.4">
      <c r="A5" s="158"/>
      <c r="B5" s="177"/>
      <c r="C5" s="18" t="s">
        <v>30</v>
      </c>
      <c r="D5" s="9" t="s">
        <v>0</v>
      </c>
      <c r="E5" s="13">
        <v>1210000</v>
      </c>
      <c r="F5" s="117">
        <v>0</v>
      </c>
      <c r="I5" s="1" t="s">
        <v>33</v>
      </c>
      <c r="J5" s="2" t="s">
        <v>2</v>
      </c>
      <c r="K5" s="4">
        <v>1110000</v>
      </c>
      <c r="L5" s="11">
        <f>F3+F11</f>
        <v>0</v>
      </c>
    </row>
    <row r="6" spans="1:12" ht="16" thickBot="1" x14ac:dyDescent="0.4">
      <c r="A6" s="158"/>
      <c r="B6" s="156" t="s">
        <v>20</v>
      </c>
      <c r="C6" s="62" t="s">
        <v>21</v>
      </c>
      <c r="D6" s="15" t="s">
        <v>1</v>
      </c>
      <c r="E6" s="79">
        <v>1230000</v>
      </c>
      <c r="F6" s="117">
        <v>0</v>
      </c>
      <c r="I6" s="1" t="s">
        <v>30</v>
      </c>
      <c r="J6" s="2" t="s">
        <v>2</v>
      </c>
      <c r="K6" s="4">
        <v>1210000</v>
      </c>
      <c r="L6" s="11">
        <f>F5+F15</f>
        <v>0</v>
      </c>
    </row>
    <row r="7" spans="1:12" ht="16" thickBot="1" x14ac:dyDescent="0.4">
      <c r="A7" s="159"/>
      <c r="B7" s="157"/>
      <c r="C7" s="63" t="s">
        <v>109</v>
      </c>
      <c r="D7" s="13" t="s">
        <v>0</v>
      </c>
      <c r="E7" s="9">
        <v>1220000</v>
      </c>
      <c r="F7" s="117">
        <v>0</v>
      </c>
      <c r="I7" s="1" t="s">
        <v>22</v>
      </c>
      <c r="J7" s="2" t="s">
        <v>2</v>
      </c>
      <c r="K7" s="4">
        <v>1220000</v>
      </c>
      <c r="L7" s="11">
        <f>F7+F23</f>
        <v>0</v>
      </c>
    </row>
    <row r="8" spans="1:12" ht="16" thickBot="1" x14ac:dyDescent="0.4">
      <c r="A8" s="173" t="s">
        <v>7</v>
      </c>
      <c r="B8" s="174" t="s">
        <v>7</v>
      </c>
      <c r="C8" s="16" t="s">
        <v>27</v>
      </c>
      <c r="D8" s="8" t="s">
        <v>1</v>
      </c>
      <c r="E8" s="15">
        <v>1120000</v>
      </c>
      <c r="F8" s="117">
        <v>0</v>
      </c>
      <c r="I8" s="1" t="s">
        <v>27</v>
      </c>
      <c r="J8" s="2" t="s">
        <v>2</v>
      </c>
      <c r="K8" s="4">
        <v>1120000</v>
      </c>
      <c r="L8" s="11">
        <f>F8+F18</f>
        <v>0</v>
      </c>
    </row>
    <row r="9" spans="1:12" ht="16" thickBot="1" x14ac:dyDescent="0.4">
      <c r="A9" s="173"/>
      <c r="B9" s="175"/>
      <c r="C9" s="18" t="s">
        <v>26</v>
      </c>
      <c r="D9" s="9" t="s">
        <v>0</v>
      </c>
      <c r="E9" s="13">
        <v>1130000</v>
      </c>
      <c r="F9" s="117">
        <v>0</v>
      </c>
      <c r="I9" s="1" t="s">
        <v>26</v>
      </c>
      <c r="J9" s="2" t="s">
        <v>3</v>
      </c>
      <c r="K9" s="4">
        <v>1130000</v>
      </c>
      <c r="L9" s="11">
        <f>F9+F19</f>
        <v>0</v>
      </c>
    </row>
    <row r="10" spans="1:12" ht="16" thickBot="1" x14ac:dyDescent="0.4">
      <c r="A10" s="160" t="s">
        <v>8</v>
      </c>
      <c r="B10" s="180" t="s">
        <v>6</v>
      </c>
      <c r="C10" s="62" t="s">
        <v>25</v>
      </c>
      <c r="D10" s="113" t="s">
        <v>0</v>
      </c>
      <c r="E10" s="8">
        <v>1100000</v>
      </c>
      <c r="F10" s="117">
        <v>0</v>
      </c>
      <c r="I10" s="1" t="s">
        <v>28</v>
      </c>
      <c r="J10" s="2" t="s">
        <v>35</v>
      </c>
      <c r="K10" s="4">
        <v>1140000</v>
      </c>
      <c r="L10" s="11">
        <f>F12</f>
        <v>0</v>
      </c>
    </row>
    <row r="11" spans="1:12" ht="47.25" customHeight="1" thickBot="1" x14ac:dyDescent="0.4">
      <c r="A11" s="161"/>
      <c r="B11" s="181"/>
      <c r="C11" s="116" t="s">
        <v>108</v>
      </c>
      <c r="D11" s="20" t="s">
        <v>1</v>
      </c>
      <c r="E11" s="10">
        <v>1110000</v>
      </c>
      <c r="F11" s="117">
        <v>0</v>
      </c>
      <c r="I11" s="118" t="s">
        <v>37</v>
      </c>
      <c r="J11" s="119" t="s">
        <v>2</v>
      </c>
      <c r="K11" s="4">
        <v>1150000</v>
      </c>
      <c r="L11" s="11">
        <f>F13+F17+F20+F25</f>
        <v>0</v>
      </c>
    </row>
    <row r="12" spans="1:12" ht="16" thickBot="1" x14ac:dyDescent="0.4">
      <c r="A12" s="161"/>
      <c r="B12" s="181"/>
      <c r="C12" s="116" t="s">
        <v>28</v>
      </c>
      <c r="D12" s="20" t="s">
        <v>1</v>
      </c>
      <c r="E12" s="10">
        <v>1140000</v>
      </c>
      <c r="F12" s="117">
        <v>0</v>
      </c>
      <c r="I12" s="1" t="s">
        <v>34</v>
      </c>
      <c r="J12" s="2" t="s">
        <v>36</v>
      </c>
      <c r="K12" s="4">
        <v>1160000</v>
      </c>
      <c r="L12" s="114">
        <f>IF(L28&gt;0,F21,F21+-(L28))</f>
        <v>0</v>
      </c>
    </row>
    <row r="13" spans="1:12" ht="16" thickBot="1" x14ac:dyDescent="0.4">
      <c r="A13" s="161"/>
      <c r="B13" s="182"/>
      <c r="C13" s="63" t="s">
        <v>110</v>
      </c>
      <c r="D13" s="21" t="s">
        <v>0</v>
      </c>
      <c r="E13" s="9">
        <v>1150000</v>
      </c>
      <c r="F13" s="117">
        <v>0</v>
      </c>
      <c r="I13" s="1" t="s">
        <v>29</v>
      </c>
      <c r="J13" s="2" t="s">
        <v>3</v>
      </c>
      <c r="K13" s="4">
        <v>1200000</v>
      </c>
      <c r="L13" s="11">
        <f>F4+F14</f>
        <v>0</v>
      </c>
    </row>
    <row r="14" spans="1:12" ht="16" thickBot="1" x14ac:dyDescent="0.4">
      <c r="A14" s="161"/>
      <c r="B14" s="180" t="s">
        <v>5</v>
      </c>
      <c r="C14" s="16" t="s">
        <v>29</v>
      </c>
      <c r="D14" s="8" t="s">
        <v>0</v>
      </c>
      <c r="E14" s="15">
        <v>1200000</v>
      </c>
      <c r="F14" s="117">
        <v>0</v>
      </c>
      <c r="I14" s="1" t="s">
        <v>21</v>
      </c>
      <c r="J14" s="2" t="s">
        <v>3</v>
      </c>
      <c r="K14" s="2">
        <v>1230000</v>
      </c>
      <c r="L14" s="114">
        <f>F6+F22</f>
        <v>0</v>
      </c>
    </row>
    <row r="15" spans="1:12" ht="16" thickBot="1" x14ac:dyDescent="0.4">
      <c r="A15" s="161"/>
      <c r="B15" s="181"/>
      <c r="C15" s="17" t="s">
        <v>30</v>
      </c>
      <c r="D15" s="10" t="s">
        <v>1</v>
      </c>
      <c r="E15" s="14">
        <v>1210000</v>
      </c>
      <c r="F15" s="117">
        <v>0</v>
      </c>
      <c r="I15" s="1"/>
      <c r="J15" s="2"/>
      <c r="K15" s="4"/>
      <c r="L15" s="11"/>
    </row>
    <row r="16" spans="1:12" ht="19" thickBot="1" x14ac:dyDescent="0.5">
      <c r="A16" s="161"/>
      <c r="B16" s="181"/>
      <c r="C16" s="17" t="s">
        <v>31</v>
      </c>
      <c r="D16" s="10" t="s">
        <v>1</v>
      </c>
      <c r="E16" s="14">
        <v>5000000</v>
      </c>
      <c r="F16" s="117">
        <v>0</v>
      </c>
      <c r="I16" s="170" t="s">
        <v>17</v>
      </c>
      <c r="J16" s="171"/>
      <c r="K16" s="172"/>
      <c r="L16" s="12">
        <f>SUM(L4:L15)</f>
        <v>0</v>
      </c>
    </row>
    <row r="17" spans="1:12" ht="16" thickBot="1" x14ac:dyDescent="0.4">
      <c r="A17" s="161"/>
      <c r="B17" s="182"/>
      <c r="C17" s="19" t="s">
        <v>32</v>
      </c>
      <c r="D17" s="9" t="s">
        <v>0</v>
      </c>
      <c r="E17" s="24">
        <v>1150000</v>
      </c>
      <c r="F17" s="117">
        <v>0</v>
      </c>
      <c r="I17" s="167" t="s">
        <v>15</v>
      </c>
      <c r="J17" s="168"/>
      <c r="K17" s="168"/>
      <c r="L17" s="169"/>
    </row>
    <row r="18" spans="1:12" ht="16" thickBot="1" x14ac:dyDescent="0.4">
      <c r="A18" s="161"/>
      <c r="B18" s="180" t="s">
        <v>7</v>
      </c>
      <c r="C18" s="62" t="s">
        <v>111</v>
      </c>
      <c r="D18" s="15" t="s">
        <v>0</v>
      </c>
      <c r="E18" s="25">
        <v>1120000</v>
      </c>
      <c r="F18" s="117">
        <v>0</v>
      </c>
      <c r="I18" s="7" t="s">
        <v>14</v>
      </c>
      <c r="J18" s="6" t="s">
        <v>18</v>
      </c>
      <c r="K18" s="6" t="s">
        <v>16</v>
      </c>
      <c r="L18" s="6" t="s">
        <v>11</v>
      </c>
    </row>
    <row r="19" spans="1:12" ht="16" thickBot="1" x14ac:dyDescent="0.4">
      <c r="A19" s="161"/>
      <c r="B19" s="181"/>
      <c r="C19" s="116" t="s">
        <v>26</v>
      </c>
      <c r="D19" s="14" t="s">
        <v>1</v>
      </c>
      <c r="E19" s="14">
        <v>1130000</v>
      </c>
      <c r="F19" s="117">
        <v>0</v>
      </c>
      <c r="I19" s="1" t="s">
        <v>31</v>
      </c>
      <c r="J19" s="2" t="s">
        <v>39</v>
      </c>
      <c r="K19" s="2">
        <v>5000000</v>
      </c>
      <c r="L19" s="11">
        <f>F16</f>
        <v>0</v>
      </c>
    </row>
    <row r="20" spans="1:12" ht="16" thickBot="1" x14ac:dyDescent="0.4">
      <c r="A20" s="161"/>
      <c r="B20" s="181"/>
      <c r="C20" s="116" t="s">
        <v>112</v>
      </c>
      <c r="D20" s="14" t="s">
        <v>1</v>
      </c>
      <c r="E20" s="14">
        <v>1150000</v>
      </c>
      <c r="F20" s="117">
        <v>0</v>
      </c>
      <c r="I20" s="1" t="s">
        <v>38</v>
      </c>
      <c r="J20" s="2" t="s">
        <v>19</v>
      </c>
      <c r="K20" s="2">
        <v>5000001</v>
      </c>
      <c r="L20" s="11">
        <v>-300</v>
      </c>
    </row>
    <row r="21" spans="1:12" ht="16" thickBot="1" x14ac:dyDescent="0.4">
      <c r="A21" s="161"/>
      <c r="B21" s="182"/>
      <c r="C21" s="63" t="s">
        <v>34</v>
      </c>
      <c r="D21" s="13" t="s">
        <v>0</v>
      </c>
      <c r="E21" s="24">
        <v>1160000</v>
      </c>
      <c r="F21" s="117">
        <v>0</v>
      </c>
      <c r="I21" s="1" t="s">
        <v>40</v>
      </c>
      <c r="J21" s="2" t="s">
        <v>19</v>
      </c>
      <c r="K21" s="2">
        <v>5000002</v>
      </c>
      <c r="L21" s="11">
        <v>-100</v>
      </c>
    </row>
    <row r="22" spans="1:12" ht="16" thickBot="1" x14ac:dyDescent="0.4">
      <c r="A22" s="161"/>
      <c r="B22" s="163" t="s">
        <v>20</v>
      </c>
      <c r="C22" s="16" t="s">
        <v>21</v>
      </c>
      <c r="D22" s="8" t="s">
        <v>0</v>
      </c>
      <c r="E22" s="14">
        <v>1230000</v>
      </c>
      <c r="F22" s="117">
        <v>0</v>
      </c>
      <c r="I22" s="1" t="s">
        <v>41</v>
      </c>
      <c r="J22" s="2" t="s">
        <v>19</v>
      </c>
      <c r="K22" s="2">
        <v>5000003</v>
      </c>
      <c r="L22" s="11">
        <v>-200</v>
      </c>
    </row>
    <row r="23" spans="1:12" ht="16" thickBot="1" x14ac:dyDescent="0.4">
      <c r="A23" s="161"/>
      <c r="B23" s="161"/>
      <c r="C23" s="17" t="s">
        <v>22</v>
      </c>
      <c r="D23" s="10" t="s">
        <v>1</v>
      </c>
      <c r="E23" s="13">
        <v>1220000</v>
      </c>
      <c r="F23" s="117">
        <v>0</v>
      </c>
      <c r="I23" s="1"/>
      <c r="J23" s="2"/>
      <c r="K23" s="2"/>
      <c r="L23" s="11"/>
    </row>
    <row r="24" spans="1:12" ht="16" thickBot="1" x14ac:dyDescent="0.4">
      <c r="A24" s="161"/>
      <c r="B24" s="161"/>
      <c r="C24" s="17" t="s">
        <v>23</v>
      </c>
      <c r="D24" s="10" t="s">
        <v>1</v>
      </c>
      <c r="E24" s="13" t="s">
        <v>42</v>
      </c>
      <c r="F24" s="117">
        <v>0</v>
      </c>
      <c r="I24" s="1"/>
      <c r="J24" s="2"/>
      <c r="K24" s="2"/>
      <c r="L24" s="11"/>
    </row>
    <row r="25" spans="1:12" ht="16" thickBot="1" x14ac:dyDescent="0.4">
      <c r="A25" s="162"/>
      <c r="B25" s="162"/>
      <c r="C25" s="18" t="s">
        <v>24</v>
      </c>
      <c r="D25" s="9" t="s">
        <v>0</v>
      </c>
      <c r="E25" s="24">
        <v>1150000</v>
      </c>
      <c r="F25" s="117">
        <v>0</v>
      </c>
      <c r="I25" s="1"/>
      <c r="J25" s="2"/>
      <c r="K25" s="2"/>
      <c r="L25" s="11"/>
    </row>
    <row r="26" spans="1:12" ht="15.5" x14ac:dyDescent="0.35">
      <c r="I26" s="1"/>
      <c r="J26" s="2"/>
      <c r="K26" s="2"/>
      <c r="L26" s="11"/>
    </row>
    <row r="27" spans="1:12" ht="15.5" x14ac:dyDescent="0.35">
      <c r="A27" s="179"/>
      <c r="B27" s="155"/>
      <c r="C27" s="155"/>
      <c r="F27" s="23"/>
      <c r="I27" s="1"/>
      <c r="J27" s="2"/>
      <c r="K27" s="2"/>
      <c r="L27" s="11"/>
    </row>
    <row r="28" spans="1:12" ht="15.5" x14ac:dyDescent="0.35">
      <c r="A28" s="179"/>
      <c r="B28" s="155"/>
      <c r="C28" s="155"/>
      <c r="F28" s="23"/>
      <c r="I28" s="1"/>
      <c r="J28" s="2"/>
      <c r="K28" s="2"/>
      <c r="L28" s="11"/>
    </row>
    <row r="29" spans="1:12" ht="18.5" x14ac:dyDescent="0.45">
      <c r="A29" s="179"/>
      <c r="B29" s="155"/>
      <c r="C29" s="155"/>
      <c r="F29" s="23"/>
      <c r="I29" s="170" t="s">
        <v>17</v>
      </c>
      <c r="J29" s="171"/>
      <c r="K29" s="172"/>
      <c r="L29" s="12">
        <f>SUM(L19:L28)</f>
        <v>-600</v>
      </c>
    </row>
    <row r="30" spans="1:12" ht="15.5" x14ac:dyDescent="0.35">
      <c r="A30" s="179"/>
      <c r="B30" s="155"/>
      <c r="C30" s="155"/>
      <c r="F30" s="23"/>
    </row>
    <row r="31" spans="1:12" x14ac:dyDescent="0.35">
      <c r="A31" s="179"/>
      <c r="B31" s="155"/>
      <c r="C31" s="155"/>
    </row>
  </sheetData>
  <mergeCells count="23">
    <mergeCell ref="A1:B1"/>
    <mergeCell ref="I1:L1"/>
    <mergeCell ref="I2:L2"/>
    <mergeCell ref="I16:K16"/>
    <mergeCell ref="I29:K29"/>
    <mergeCell ref="A8:A9"/>
    <mergeCell ref="B8:B9"/>
    <mergeCell ref="B2:B3"/>
    <mergeCell ref="B4:B5"/>
    <mergeCell ref="A27:A31"/>
    <mergeCell ref="B27:C27"/>
    <mergeCell ref="B18:B21"/>
    <mergeCell ref="B14:B17"/>
    <mergeCell ref="B10:B13"/>
    <mergeCell ref="B28:C28"/>
    <mergeCell ref="I17:L17"/>
    <mergeCell ref="B29:C29"/>
    <mergeCell ref="B30:C30"/>
    <mergeCell ref="B31:C31"/>
    <mergeCell ref="B6:B7"/>
    <mergeCell ref="A2:A7"/>
    <mergeCell ref="A10:A25"/>
    <mergeCell ref="B22:B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RAF">
                <anchor moveWithCells="1" sizeWithCells="1">
                  <from>
                    <xdr:col>6</xdr:col>
                    <xdr:colOff>209550</xdr:colOff>
                    <xdr:row>8</xdr:row>
                    <xdr:rowOff>31750</xdr:rowOff>
                  </from>
                  <to>
                    <xdr:col>7</xdr:col>
                    <xdr:colOff>457200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Endd">
                <anchor moveWithCells="1" sizeWithCells="1">
                  <from>
                    <xdr:col>6</xdr:col>
                    <xdr:colOff>209550</xdr:colOff>
                    <xdr:row>10</xdr:row>
                    <xdr:rowOff>317500</xdr:rowOff>
                  </from>
                  <to>
                    <xdr:col>7</xdr:col>
                    <xdr:colOff>457200</xdr:colOff>
                    <xdr:row>12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tart">
                <anchor moveWithCells="1" sizeWithCells="1">
                  <from>
                    <xdr:col>6</xdr:col>
                    <xdr:colOff>222250</xdr:colOff>
                    <xdr:row>2</xdr:row>
                    <xdr:rowOff>184150</xdr:rowOff>
                  </from>
                  <to>
                    <xdr:col>7</xdr:col>
                    <xdr:colOff>450850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clearprod">
                <anchor moveWithCells="1" sizeWithCells="1">
                  <from>
                    <xdr:col>6</xdr:col>
                    <xdr:colOff>203200</xdr:colOff>
                    <xdr:row>17</xdr:row>
                    <xdr:rowOff>152400</xdr:rowOff>
                  </from>
                  <to>
                    <xdr:col>7</xdr:col>
                    <xdr:colOff>488950</xdr:colOff>
                    <xdr:row>20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998C7-0C66-4D01-AAD5-B77DB5C83810}">
  <sheetPr codeName="Sheet1"/>
  <dimension ref="A1:L23"/>
  <sheetViews>
    <sheetView topLeftCell="B1" zoomScaleNormal="100" workbookViewId="0">
      <selection activeCell="F8" sqref="F8"/>
    </sheetView>
  </sheetViews>
  <sheetFormatPr defaultRowHeight="14.5" x14ac:dyDescent="0.35"/>
  <cols>
    <col min="1" max="1" width="14.1796875" style="29" customWidth="1"/>
    <col min="2" max="2" width="10.7265625" bestFit="1" customWidth="1"/>
    <col min="3" max="3" width="37.7265625" customWidth="1"/>
    <col min="7" max="7" width="6.1796875" customWidth="1"/>
    <col min="8" max="8" width="3" customWidth="1"/>
    <col min="9" max="9" width="43" customWidth="1"/>
    <col min="10" max="10" width="19.81640625" bestFit="1" customWidth="1"/>
    <col min="12" max="12" width="12.1796875" customWidth="1"/>
  </cols>
  <sheetData>
    <row r="1" spans="1:12" ht="16" thickBot="1" x14ac:dyDescent="0.4">
      <c r="A1" s="183"/>
      <c r="B1" s="184"/>
      <c r="C1" s="37" t="s">
        <v>9</v>
      </c>
      <c r="D1" s="38"/>
      <c r="E1" s="39" t="s">
        <v>10</v>
      </c>
      <c r="F1" s="39" t="s">
        <v>11</v>
      </c>
      <c r="I1" s="164" t="s">
        <v>12</v>
      </c>
      <c r="J1" s="166"/>
      <c r="K1" s="166"/>
      <c r="L1" s="165"/>
    </row>
    <row r="2" spans="1:12" ht="16.5" customHeight="1" thickBot="1" x14ac:dyDescent="0.4">
      <c r="A2" s="191" t="s">
        <v>43</v>
      </c>
      <c r="B2" s="185" t="s">
        <v>47</v>
      </c>
      <c r="C2" s="98" t="s">
        <v>46</v>
      </c>
      <c r="D2" s="100" t="s">
        <v>1</v>
      </c>
      <c r="E2" s="100">
        <v>2100000</v>
      </c>
      <c r="F2" s="65">
        <v>0</v>
      </c>
      <c r="I2" s="167" t="s">
        <v>13</v>
      </c>
      <c r="J2" s="168"/>
      <c r="K2" s="168"/>
      <c r="L2" s="169"/>
    </row>
    <row r="3" spans="1:12" ht="30" customHeight="1" thickBot="1" x14ac:dyDescent="0.4">
      <c r="A3" s="192"/>
      <c r="B3" s="186"/>
      <c r="C3" s="130" t="s">
        <v>45</v>
      </c>
      <c r="D3" s="101" t="s">
        <v>0</v>
      </c>
      <c r="E3" s="101">
        <v>1110000</v>
      </c>
      <c r="F3" s="65">
        <v>0</v>
      </c>
      <c r="I3" s="22" t="s">
        <v>14</v>
      </c>
      <c r="J3" s="22" t="s">
        <v>18</v>
      </c>
      <c r="K3" s="22" t="s">
        <v>16</v>
      </c>
      <c r="L3" s="22" t="s">
        <v>11</v>
      </c>
    </row>
    <row r="4" spans="1:12" ht="22.5" customHeight="1" thickBot="1" x14ac:dyDescent="0.4">
      <c r="A4" s="193" t="s">
        <v>44</v>
      </c>
      <c r="B4" s="187" t="s">
        <v>47</v>
      </c>
      <c r="C4" s="42" t="s">
        <v>46</v>
      </c>
      <c r="D4" s="44" t="s">
        <v>0</v>
      </c>
      <c r="E4" s="44">
        <v>2100000</v>
      </c>
      <c r="F4" s="65">
        <v>0</v>
      </c>
      <c r="I4" s="35" t="s">
        <v>45</v>
      </c>
      <c r="J4" s="2" t="s">
        <v>51</v>
      </c>
      <c r="K4" s="4">
        <v>1110000</v>
      </c>
      <c r="L4" s="11">
        <f>F3+F5</f>
        <v>0</v>
      </c>
    </row>
    <row r="5" spans="1:12" ht="16" thickBot="1" x14ac:dyDescent="0.4">
      <c r="A5" s="194"/>
      <c r="B5" s="188"/>
      <c r="C5" s="35" t="s">
        <v>45</v>
      </c>
      <c r="D5" s="4" t="s">
        <v>1</v>
      </c>
      <c r="E5" s="4">
        <v>1110000</v>
      </c>
      <c r="F5" s="65">
        <v>0</v>
      </c>
      <c r="I5" s="35" t="s">
        <v>49</v>
      </c>
      <c r="J5" s="2" t="s">
        <v>52</v>
      </c>
      <c r="K5" s="4">
        <v>1150000</v>
      </c>
      <c r="L5" s="11">
        <f>F7</f>
        <v>0</v>
      </c>
    </row>
    <row r="6" spans="1:12" ht="15.75" customHeight="1" thickBot="1" x14ac:dyDescent="0.4">
      <c r="A6" s="194"/>
      <c r="B6" s="189" t="s">
        <v>48</v>
      </c>
      <c r="C6" s="88" t="s">
        <v>50</v>
      </c>
      <c r="D6" s="4" t="s">
        <v>1</v>
      </c>
      <c r="E6" s="4">
        <v>2140000</v>
      </c>
      <c r="F6" s="65">
        <v>0</v>
      </c>
      <c r="I6" s="46"/>
      <c r="J6" s="47"/>
      <c r="K6" s="48"/>
      <c r="L6" s="49"/>
    </row>
    <row r="7" spans="1:12" ht="16" thickBot="1" x14ac:dyDescent="0.4">
      <c r="A7" s="195"/>
      <c r="B7" s="190"/>
      <c r="C7" s="99" t="s">
        <v>49</v>
      </c>
      <c r="D7" s="45" t="s">
        <v>0</v>
      </c>
      <c r="E7" s="45">
        <v>1150000</v>
      </c>
      <c r="F7" s="65">
        <v>0</v>
      </c>
      <c r="I7" s="35" t="s">
        <v>46</v>
      </c>
      <c r="J7" s="2" t="s">
        <v>53</v>
      </c>
      <c r="K7" s="4">
        <v>2100000</v>
      </c>
      <c r="L7" s="11">
        <f>F2+F4</f>
        <v>0</v>
      </c>
    </row>
    <row r="8" spans="1:12" ht="15.5" x14ac:dyDescent="0.35">
      <c r="A8" s="32"/>
      <c r="B8" s="32"/>
      <c r="C8" s="33"/>
      <c r="D8" s="5"/>
      <c r="E8" s="5"/>
      <c r="F8" s="31"/>
      <c r="I8" s="1" t="s">
        <v>50</v>
      </c>
      <c r="J8" s="2" t="s">
        <v>53</v>
      </c>
      <c r="K8" s="4">
        <v>2140000</v>
      </c>
      <c r="L8" s="11">
        <f>F6</f>
        <v>0</v>
      </c>
    </row>
    <row r="9" spans="1:12" x14ac:dyDescent="0.35">
      <c r="A9" s="32"/>
      <c r="B9" s="32"/>
      <c r="C9" s="33"/>
      <c r="D9" s="5"/>
      <c r="E9" s="5"/>
      <c r="F9" s="31"/>
      <c r="I9" s="167" t="s">
        <v>15</v>
      </c>
      <c r="J9" s="168"/>
      <c r="K9" s="168"/>
      <c r="L9" s="169"/>
    </row>
    <row r="10" spans="1:12" x14ac:dyDescent="0.35">
      <c r="A10" s="32"/>
      <c r="B10" s="196"/>
      <c r="D10" s="5"/>
      <c r="E10" s="5"/>
      <c r="F10" s="31"/>
      <c r="I10" s="7" t="s">
        <v>14</v>
      </c>
      <c r="J10" s="6" t="s">
        <v>18</v>
      </c>
      <c r="K10" s="6" t="s">
        <v>16</v>
      </c>
      <c r="L10" s="6" t="s">
        <v>11</v>
      </c>
    </row>
    <row r="11" spans="1:12" ht="47.25" customHeight="1" x14ac:dyDescent="0.35">
      <c r="A11" s="32"/>
      <c r="B11" s="196"/>
      <c r="C11" s="34"/>
      <c r="D11" s="5"/>
      <c r="E11" s="5"/>
      <c r="F11" s="31"/>
      <c r="I11" s="1"/>
      <c r="J11" s="2"/>
      <c r="K11" s="2"/>
      <c r="L11" s="11"/>
    </row>
    <row r="12" spans="1:12" ht="15.5" x14ac:dyDescent="0.35">
      <c r="A12" s="32"/>
      <c r="B12" s="196"/>
      <c r="D12" s="5"/>
      <c r="E12" s="5"/>
      <c r="F12" s="31"/>
      <c r="I12" s="1"/>
      <c r="J12" s="2"/>
      <c r="K12" s="2"/>
      <c r="L12" s="11"/>
    </row>
    <row r="13" spans="1:12" ht="15.5" x14ac:dyDescent="0.35">
      <c r="A13" s="32"/>
      <c r="B13" s="196"/>
      <c r="D13" s="5"/>
      <c r="E13" s="5"/>
      <c r="F13" s="31"/>
      <c r="I13" s="1"/>
      <c r="J13" s="2"/>
      <c r="K13" s="2"/>
      <c r="L13" s="11"/>
    </row>
    <row r="14" spans="1:12" ht="15.5" x14ac:dyDescent="0.35">
      <c r="A14" s="32"/>
      <c r="B14" s="197"/>
      <c r="D14" s="5"/>
      <c r="E14" s="5"/>
      <c r="F14" s="31"/>
      <c r="I14" s="1"/>
      <c r="J14" s="2"/>
      <c r="K14" s="2"/>
      <c r="L14" s="11"/>
    </row>
    <row r="15" spans="1:12" ht="15.5" x14ac:dyDescent="0.35">
      <c r="A15" s="32"/>
      <c r="B15" s="197"/>
      <c r="D15" s="5"/>
      <c r="E15" s="5"/>
      <c r="F15" s="31"/>
      <c r="I15" s="1"/>
      <c r="J15" s="2"/>
      <c r="K15" s="2"/>
      <c r="L15" s="11"/>
    </row>
    <row r="16" spans="1:12" ht="15.5" x14ac:dyDescent="0.35">
      <c r="A16" s="32"/>
      <c r="B16" s="197"/>
      <c r="D16" s="5"/>
      <c r="E16" s="5"/>
      <c r="F16" s="31"/>
      <c r="I16" s="1"/>
      <c r="J16" s="2"/>
      <c r="K16" s="2"/>
      <c r="L16" s="11"/>
    </row>
    <row r="17" spans="1:12" ht="15.5" x14ac:dyDescent="0.35">
      <c r="A17" s="32"/>
      <c r="B17" s="197"/>
      <c r="D17" s="5"/>
      <c r="E17" s="5"/>
      <c r="F17" s="31"/>
      <c r="I17" s="1"/>
      <c r="J17" s="2"/>
      <c r="K17" s="2"/>
      <c r="L17" s="11"/>
    </row>
    <row r="18" spans="1:12" ht="15.5" x14ac:dyDescent="0.35">
      <c r="A18" s="32"/>
      <c r="B18" s="198"/>
      <c r="D18" s="5"/>
      <c r="E18" s="5"/>
      <c r="F18" s="31"/>
      <c r="I18" s="1"/>
      <c r="J18" s="2"/>
      <c r="K18" s="2"/>
      <c r="L18" s="11"/>
    </row>
    <row r="19" spans="1:12" ht="15.5" x14ac:dyDescent="0.35">
      <c r="A19" s="32"/>
      <c r="B19" s="198"/>
      <c r="D19" s="5"/>
      <c r="E19" s="5"/>
      <c r="F19" s="31"/>
      <c r="I19" s="1"/>
      <c r="J19" s="2"/>
      <c r="K19" s="2"/>
      <c r="L19" s="11"/>
    </row>
    <row r="20" spans="1:12" ht="15.5" x14ac:dyDescent="0.35">
      <c r="A20" s="32"/>
      <c r="B20" s="198"/>
      <c r="I20" s="1"/>
      <c r="J20" s="2"/>
      <c r="K20" s="2"/>
      <c r="L20" s="11"/>
    </row>
    <row r="21" spans="1:12" ht="18.5" x14ac:dyDescent="0.45">
      <c r="A21" s="32"/>
      <c r="B21" s="198"/>
      <c r="I21" s="170" t="s">
        <v>17</v>
      </c>
      <c r="J21" s="171"/>
      <c r="K21" s="172"/>
      <c r="L21" s="12">
        <f>SUM(L11:L20)</f>
        <v>0</v>
      </c>
    </row>
    <row r="22" spans="1:12" x14ac:dyDescent="0.35">
      <c r="A22" s="32"/>
    </row>
    <row r="23" spans="1:12" x14ac:dyDescent="0.35">
      <c r="A23" s="32"/>
    </row>
  </sheetData>
  <mergeCells count="13">
    <mergeCell ref="I1:L1"/>
    <mergeCell ref="I2:L2"/>
    <mergeCell ref="I9:L9"/>
    <mergeCell ref="I21:K21"/>
    <mergeCell ref="A1:B1"/>
    <mergeCell ref="B2:B3"/>
    <mergeCell ref="B4:B5"/>
    <mergeCell ref="B6:B7"/>
    <mergeCell ref="A2:A3"/>
    <mergeCell ref="A4:A7"/>
    <mergeCell ref="B10:B13"/>
    <mergeCell ref="B14:B17"/>
    <mergeCell ref="B18:B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civing">
                <anchor moveWithCells="1" sizeWithCells="1">
                  <from>
                    <xdr:col>2</xdr:col>
                    <xdr:colOff>114300</xdr:colOff>
                    <xdr:row>10</xdr:row>
                    <xdr:rowOff>12700</xdr:rowOff>
                  </from>
                  <to>
                    <xdr:col>2</xdr:col>
                    <xdr:colOff>2489200</xdr:colOff>
                    <xdr:row>10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voice">
                <anchor moveWithCells="1" sizeWithCells="1">
                  <from>
                    <xdr:col>2</xdr:col>
                    <xdr:colOff>127000</xdr:colOff>
                    <xdr:row>12</xdr:row>
                    <xdr:rowOff>19050</xdr:rowOff>
                  </from>
                  <to>
                    <xdr:col>2</xdr:col>
                    <xdr:colOff>2495550</xdr:colOff>
                    <xdr:row>14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learpurchasing">
                <anchor moveWithCells="1" sizeWithCells="1">
                  <from>
                    <xdr:col>4</xdr:col>
                    <xdr:colOff>31750</xdr:colOff>
                    <xdr:row>10</xdr:row>
                    <xdr:rowOff>590550</xdr:rowOff>
                  </from>
                  <to>
                    <xdr:col>5</xdr:col>
                    <xdr:colOff>127000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27A7-759F-4850-A44A-0572576FB347}">
  <sheetPr codeName="Sheet3"/>
  <dimension ref="A1:L25"/>
  <sheetViews>
    <sheetView zoomScaleNormal="100" workbookViewId="0">
      <selection activeCell="D10" sqref="D10"/>
    </sheetView>
  </sheetViews>
  <sheetFormatPr defaultRowHeight="14.5" x14ac:dyDescent="0.35"/>
  <cols>
    <col min="1" max="1" width="14.1796875" style="29" customWidth="1"/>
    <col min="2" max="2" width="10.7265625" bestFit="1" customWidth="1"/>
    <col min="3" max="3" width="37.7265625" customWidth="1"/>
    <col min="7" max="7" width="6.1796875" customWidth="1"/>
    <col min="8" max="8" width="3" customWidth="1"/>
    <col min="9" max="9" width="43" customWidth="1"/>
    <col min="10" max="10" width="19.81640625" bestFit="1" customWidth="1"/>
    <col min="12" max="12" width="12.1796875" customWidth="1"/>
  </cols>
  <sheetData>
    <row r="1" spans="1:12" ht="16" thickBot="1" x14ac:dyDescent="0.4">
      <c r="A1" s="183"/>
      <c r="B1" s="184"/>
      <c r="C1" s="37" t="s">
        <v>9</v>
      </c>
      <c r="D1" s="38"/>
      <c r="E1" s="39" t="s">
        <v>10</v>
      </c>
      <c r="F1" s="39" t="s">
        <v>11</v>
      </c>
      <c r="I1" s="164" t="s">
        <v>12</v>
      </c>
      <c r="J1" s="166"/>
      <c r="K1" s="166"/>
      <c r="L1" s="165"/>
    </row>
    <row r="2" spans="1:12" ht="16.5" customHeight="1" thickBot="1" x14ac:dyDescent="0.4">
      <c r="A2" s="201" t="s">
        <v>54</v>
      </c>
      <c r="B2" s="185" t="s">
        <v>47</v>
      </c>
      <c r="C2" s="42" t="s">
        <v>56</v>
      </c>
      <c r="D2" s="100" t="s">
        <v>1</v>
      </c>
      <c r="E2" s="101">
        <v>1110000</v>
      </c>
      <c r="F2" s="65">
        <v>0</v>
      </c>
      <c r="I2" s="167" t="s">
        <v>13</v>
      </c>
      <c r="J2" s="168"/>
      <c r="K2" s="168"/>
      <c r="L2" s="169"/>
    </row>
    <row r="3" spans="1:12" ht="30" customHeight="1" thickBot="1" x14ac:dyDescent="0.4">
      <c r="A3" s="202"/>
      <c r="B3" s="186"/>
      <c r="C3" s="43" t="s">
        <v>57</v>
      </c>
      <c r="D3" s="101" t="s">
        <v>0</v>
      </c>
      <c r="E3" s="101">
        <v>1111000</v>
      </c>
      <c r="F3" s="65">
        <v>0</v>
      </c>
      <c r="I3" s="22" t="s">
        <v>14</v>
      </c>
      <c r="J3" s="22" t="s">
        <v>18</v>
      </c>
      <c r="K3" s="22" t="s">
        <v>16</v>
      </c>
      <c r="L3" s="22" t="s">
        <v>11</v>
      </c>
    </row>
    <row r="4" spans="1:12" ht="22.5" customHeight="1" thickBot="1" x14ac:dyDescent="0.4">
      <c r="A4" s="204" t="s">
        <v>44</v>
      </c>
      <c r="B4" s="203" t="s">
        <v>47</v>
      </c>
      <c r="C4" s="62" t="s">
        <v>59</v>
      </c>
      <c r="D4" s="56" t="s">
        <v>0</v>
      </c>
      <c r="E4" s="41">
        <v>5100000</v>
      </c>
      <c r="F4" s="65">
        <v>0</v>
      </c>
      <c r="I4" s="35" t="s">
        <v>56</v>
      </c>
      <c r="J4" s="2" t="s">
        <v>51</v>
      </c>
      <c r="K4" s="4">
        <v>1110000</v>
      </c>
      <c r="L4" s="11">
        <f>F2+F6</f>
        <v>0</v>
      </c>
    </row>
    <row r="5" spans="1:12" ht="16" thickBot="1" x14ac:dyDescent="0.4">
      <c r="A5" s="205"/>
      <c r="B5" s="203"/>
      <c r="C5" s="63" t="s">
        <v>58</v>
      </c>
      <c r="D5" s="57" t="s">
        <v>1</v>
      </c>
      <c r="E5" s="41">
        <v>1120000</v>
      </c>
      <c r="F5" s="65">
        <v>0</v>
      </c>
      <c r="I5" s="35" t="s">
        <v>57</v>
      </c>
      <c r="J5" s="2" t="s">
        <v>51</v>
      </c>
      <c r="K5" s="4">
        <v>1111000</v>
      </c>
      <c r="L5" s="11">
        <f>F3+F7</f>
        <v>0</v>
      </c>
    </row>
    <row r="6" spans="1:12" ht="15.75" customHeight="1" thickBot="1" x14ac:dyDescent="0.4">
      <c r="A6" s="205"/>
      <c r="B6" s="203"/>
      <c r="C6" s="58" t="s">
        <v>56</v>
      </c>
      <c r="D6" s="57" t="s">
        <v>0</v>
      </c>
      <c r="E6" s="4">
        <v>1110000</v>
      </c>
      <c r="F6" s="65">
        <v>0</v>
      </c>
      <c r="I6" s="35" t="s">
        <v>58</v>
      </c>
      <c r="J6" s="2" t="s">
        <v>62</v>
      </c>
      <c r="K6" s="54">
        <v>1120000</v>
      </c>
      <c r="L6" s="55">
        <f>F5</f>
        <v>0</v>
      </c>
    </row>
    <row r="7" spans="1:12" ht="16" thickBot="1" x14ac:dyDescent="0.4">
      <c r="A7" s="205"/>
      <c r="B7" s="203"/>
      <c r="C7" s="59" t="s">
        <v>57</v>
      </c>
      <c r="D7" s="60" t="s">
        <v>1</v>
      </c>
      <c r="E7" s="50">
        <v>1111000</v>
      </c>
      <c r="F7" s="65">
        <v>0</v>
      </c>
      <c r="I7" s="35" t="s">
        <v>60</v>
      </c>
      <c r="J7" s="2" t="s">
        <v>63</v>
      </c>
      <c r="K7" s="4">
        <v>150000</v>
      </c>
      <c r="L7" s="11">
        <f>F9</f>
        <v>0</v>
      </c>
    </row>
    <row r="8" spans="1:12" ht="16" thickBot="1" x14ac:dyDescent="0.4">
      <c r="A8" s="205"/>
      <c r="B8" s="199" t="s">
        <v>48</v>
      </c>
      <c r="C8" s="98" t="s">
        <v>61</v>
      </c>
      <c r="D8" s="44" t="s">
        <v>1</v>
      </c>
      <c r="E8" s="44">
        <v>410000</v>
      </c>
      <c r="F8" s="65">
        <v>0</v>
      </c>
      <c r="I8" s="40"/>
      <c r="J8" s="2"/>
      <c r="K8" s="4"/>
      <c r="L8" s="11"/>
    </row>
    <row r="9" spans="1:12" ht="16" thickBot="1" x14ac:dyDescent="0.4">
      <c r="A9" s="205"/>
      <c r="B9" s="200"/>
      <c r="C9" s="99" t="s">
        <v>60</v>
      </c>
      <c r="D9" s="45" t="s">
        <v>0</v>
      </c>
      <c r="E9" s="45">
        <v>150000</v>
      </c>
      <c r="F9" s="65">
        <v>0</v>
      </c>
      <c r="I9" s="35"/>
      <c r="J9" s="2"/>
      <c r="K9" s="4"/>
      <c r="L9" s="11"/>
    </row>
    <row r="10" spans="1:12" ht="15.75" customHeight="1" x14ac:dyDescent="0.35">
      <c r="A10" s="53"/>
      <c r="I10" s="1"/>
      <c r="J10" s="2"/>
      <c r="K10" s="4"/>
      <c r="L10" s="11"/>
    </row>
    <row r="11" spans="1:12" x14ac:dyDescent="0.35">
      <c r="A11" s="52"/>
      <c r="I11" s="167" t="s">
        <v>15</v>
      </c>
      <c r="J11" s="168"/>
      <c r="K11" s="168"/>
      <c r="L11" s="169"/>
    </row>
    <row r="12" spans="1:12" ht="15" thickBot="1" x14ac:dyDescent="0.4">
      <c r="A12" s="32"/>
      <c r="B12" s="196"/>
      <c r="D12" s="5"/>
      <c r="E12" s="5"/>
      <c r="F12" s="31"/>
      <c r="I12" s="7" t="s">
        <v>14</v>
      </c>
      <c r="J12" s="6" t="s">
        <v>18</v>
      </c>
      <c r="K12" s="6" t="s">
        <v>16</v>
      </c>
      <c r="L12" s="6" t="s">
        <v>11</v>
      </c>
    </row>
    <row r="13" spans="1:12" ht="47.25" customHeight="1" x14ac:dyDescent="0.35">
      <c r="A13" s="32"/>
      <c r="B13" s="196"/>
      <c r="C13" s="34"/>
      <c r="D13" s="5"/>
      <c r="E13" s="5"/>
      <c r="F13" s="31"/>
      <c r="I13" s="51" t="s">
        <v>61</v>
      </c>
      <c r="J13" s="2" t="s">
        <v>64</v>
      </c>
      <c r="K13" s="2">
        <v>410000</v>
      </c>
      <c r="L13" s="11">
        <f>F8</f>
        <v>0</v>
      </c>
    </row>
    <row r="14" spans="1:12" ht="15.5" x14ac:dyDescent="0.35">
      <c r="A14" s="32"/>
      <c r="B14" s="196"/>
      <c r="D14" s="5"/>
      <c r="E14" s="5"/>
      <c r="F14" s="31"/>
      <c r="I14" s="40" t="s">
        <v>59</v>
      </c>
      <c r="J14" s="2" t="s">
        <v>19</v>
      </c>
      <c r="K14" s="2">
        <v>510000</v>
      </c>
      <c r="L14" s="11">
        <f>F4</f>
        <v>0</v>
      </c>
    </row>
    <row r="15" spans="1:12" ht="15.5" x14ac:dyDescent="0.35">
      <c r="A15" s="32"/>
      <c r="B15" s="196"/>
      <c r="D15" s="5"/>
      <c r="E15" s="5"/>
      <c r="F15" s="31"/>
      <c r="I15" s="1"/>
      <c r="J15" s="2"/>
      <c r="K15" s="2"/>
      <c r="L15" s="11"/>
    </row>
    <row r="16" spans="1:12" ht="15.5" x14ac:dyDescent="0.35">
      <c r="A16" s="32"/>
      <c r="B16" s="197"/>
      <c r="D16" s="5"/>
      <c r="E16" s="5"/>
      <c r="F16" s="31"/>
      <c r="I16" s="1"/>
      <c r="J16" s="2"/>
      <c r="K16" s="2"/>
      <c r="L16" s="11"/>
    </row>
    <row r="17" spans="1:12" ht="15.5" x14ac:dyDescent="0.35">
      <c r="A17" s="32"/>
      <c r="B17" s="197"/>
      <c r="D17" s="5"/>
      <c r="E17" s="5"/>
      <c r="F17" s="31"/>
      <c r="I17" s="1"/>
      <c r="J17" s="2"/>
      <c r="K17" s="2"/>
      <c r="L17" s="11"/>
    </row>
    <row r="18" spans="1:12" ht="15.5" x14ac:dyDescent="0.35">
      <c r="A18" s="32"/>
      <c r="B18" s="197"/>
      <c r="D18" s="5"/>
      <c r="E18" s="5"/>
      <c r="F18" s="31"/>
      <c r="I18" s="1"/>
      <c r="J18" s="2"/>
      <c r="K18" s="2"/>
      <c r="L18" s="11"/>
    </row>
    <row r="19" spans="1:12" ht="15.5" x14ac:dyDescent="0.35">
      <c r="A19" s="32"/>
      <c r="B19" s="197"/>
      <c r="D19" s="5"/>
      <c r="E19" s="5"/>
      <c r="F19" s="31"/>
      <c r="I19" s="1"/>
      <c r="J19" s="2"/>
      <c r="K19" s="2"/>
      <c r="L19" s="11"/>
    </row>
    <row r="20" spans="1:12" ht="15.5" x14ac:dyDescent="0.35">
      <c r="A20" s="32"/>
      <c r="B20" s="198"/>
      <c r="D20" s="5"/>
      <c r="E20" s="5"/>
      <c r="F20" s="31"/>
      <c r="I20" s="1"/>
      <c r="J20" s="2"/>
      <c r="K20" s="2"/>
      <c r="L20" s="11"/>
    </row>
    <row r="21" spans="1:12" ht="15.5" x14ac:dyDescent="0.35">
      <c r="A21" s="32"/>
      <c r="B21" s="198"/>
      <c r="D21" s="5"/>
      <c r="E21" s="5"/>
      <c r="F21" s="31"/>
      <c r="I21" s="1"/>
      <c r="J21" s="2"/>
      <c r="K21" s="2"/>
      <c r="L21" s="11"/>
    </row>
    <row r="22" spans="1:12" ht="15.5" x14ac:dyDescent="0.35">
      <c r="A22" s="32"/>
      <c r="B22" s="198"/>
      <c r="I22" s="1"/>
      <c r="J22" s="2"/>
      <c r="K22" s="2"/>
      <c r="L22" s="11"/>
    </row>
    <row r="23" spans="1:12" ht="18.5" x14ac:dyDescent="0.45">
      <c r="A23" s="32"/>
      <c r="B23" s="198"/>
      <c r="I23" s="170" t="s">
        <v>17</v>
      </c>
      <c r="J23" s="171"/>
      <c r="K23" s="172"/>
      <c r="L23" s="12">
        <f>SUM(L13:L22)</f>
        <v>0</v>
      </c>
    </row>
    <row r="24" spans="1:12" x14ac:dyDescent="0.35">
      <c r="A24" s="32"/>
    </row>
    <row r="25" spans="1:12" x14ac:dyDescent="0.35">
      <c r="A25" s="32"/>
    </row>
  </sheetData>
  <mergeCells count="13">
    <mergeCell ref="B20:B23"/>
    <mergeCell ref="I23:K23"/>
    <mergeCell ref="B8:B9"/>
    <mergeCell ref="A1:B1"/>
    <mergeCell ref="I1:L1"/>
    <mergeCell ref="A2:A3"/>
    <mergeCell ref="B2:B3"/>
    <mergeCell ref="I2:L2"/>
    <mergeCell ref="B4:B7"/>
    <mergeCell ref="A4:A9"/>
    <mergeCell ref="I11:L11"/>
    <mergeCell ref="B12:B15"/>
    <mergeCell ref="B16:B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civing">
                <anchor moveWithCells="1" sizeWithCells="1">
                  <from>
                    <xdr:col>2</xdr:col>
                    <xdr:colOff>114300</xdr:colOff>
                    <xdr:row>12</xdr:row>
                    <xdr:rowOff>12700</xdr:rowOff>
                  </from>
                  <to>
                    <xdr:col>2</xdr:col>
                    <xdr:colOff>2489200</xdr:colOff>
                    <xdr:row>12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AlesInvoice">
                <anchor moveWithCells="1" sizeWithCells="1">
                  <from>
                    <xdr:col>2</xdr:col>
                    <xdr:colOff>127000</xdr:colOff>
                    <xdr:row>14</xdr:row>
                    <xdr:rowOff>19050</xdr:rowOff>
                  </from>
                  <to>
                    <xdr:col>2</xdr:col>
                    <xdr:colOff>2495550</xdr:colOff>
                    <xdr:row>16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clearsales">
                <anchor moveWithCells="1" sizeWithCells="1">
                  <from>
                    <xdr:col>4</xdr:col>
                    <xdr:colOff>31750</xdr:colOff>
                    <xdr:row>13</xdr:row>
                    <xdr:rowOff>12700</xdr:rowOff>
                  </from>
                  <to>
                    <xdr:col>5</xdr:col>
                    <xdr:colOff>247650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ED911-70AA-48C5-BAA6-A00E8734DFDA}">
  <sheetPr codeName="Sheet4"/>
  <dimension ref="A1:L23"/>
  <sheetViews>
    <sheetView workbookViewId="0">
      <selection activeCell="E17" sqref="E17"/>
    </sheetView>
  </sheetViews>
  <sheetFormatPr defaultRowHeight="14.5" x14ac:dyDescent="0.35"/>
  <cols>
    <col min="1" max="1" width="11.453125" bestFit="1" customWidth="1"/>
    <col min="2" max="2" width="24.1796875" customWidth="1"/>
    <col min="3" max="3" width="42.54296875" customWidth="1"/>
    <col min="5" max="5" width="10.54296875" customWidth="1"/>
    <col min="7" max="7" width="6.7265625" customWidth="1"/>
    <col min="8" max="8" width="3.26953125" customWidth="1"/>
    <col min="9" max="9" width="32.81640625" customWidth="1"/>
    <col min="10" max="10" width="20" bestFit="1" customWidth="1"/>
    <col min="11" max="11" width="8.1796875" bestFit="1" customWidth="1"/>
  </cols>
  <sheetData>
    <row r="1" spans="1:12" ht="16" thickBot="1" x14ac:dyDescent="0.4">
      <c r="A1" s="183"/>
      <c r="B1" s="184"/>
      <c r="C1" s="37" t="s">
        <v>9</v>
      </c>
      <c r="D1" s="38"/>
      <c r="E1" s="39" t="s">
        <v>10</v>
      </c>
      <c r="F1" s="39" t="s">
        <v>11</v>
      </c>
      <c r="I1" s="164" t="s">
        <v>12</v>
      </c>
      <c r="J1" s="166"/>
      <c r="K1" s="166"/>
      <c r="L1" s="165"/>
    </row>
    <row r="2" spans="1:12" ht="15.5" x14ac:dyDescent="0.35">
      <c r="A2" s="199" t="s">
        <v>74</v>
      </c>
      <c r="B2" s="206" t="s">
        <v>72</v>
      </c>
      <c r="C2" s="62" t="s">
        <v>65</v>
      </c>
      <c r="D2" s="66" t="s">
        <v>1</v>
      </c>
      <c r="E2" s="150">
        <v>1110000</v>
      </c>
      <c r="F2" s="147">
        <v>0</v>
      </c>
      <c r="I2" s="167" t="s">
        <v>13</v>
      </c>
      <c r="J2" s="168"/>
      <c r="K2" s="168"/>
      <c r="L2" s="169"/>
    </row>
    <row r="3" spans="1:12" ht="16" thickBot="1" x14ac:dyDescent="0.4">
      <c r="A3" s="210"/>
      <c r="B3" s="207"/>
      <c r="C3" s="63" t="s">
        <v>67</v>
      </c>
      <c r="D3" s="67" t="s">
        <v>0</v>
      </c>
      <c r="E3" s="151">
        <v>510000</v>
      </c>
      <c r="F3" s="148">
        <v>0</v>
      </c>
      <c r="I3" s="22" t="s">
        <v>14</v>
      </c>
      <c r="J3" s="22" t="s">
        <v>18</v>
      </c>
      <c r="K3" s="22" t="s">
        <v>16</v>
      </c>
      <c r="L3" s="22" t="s">
        <v>11</v>
      </c>
    </row>
    <row r="4" spans="1:12" ht="15.5" x14ac:dyDescent="0.35">
      <c r="A4" s="210"/>
      <c r="B4" s="206" t="s">
        <v>73</v>
      </c>
      <c r="C4" s="58" t="s">
        <v>66</v>
      </c>
      <c r="D4" s="8" t="s">
        <v>0</v>
      </c>
      <c r="E4" s="152">
        <v>1111000</v>
      </c>
      <c r="F4" s="147">
        <v>0</v>
      </c>
      <c r="I4" s="35" t="s">
        <v>79</v>
      </c>
      <c r="J4" s="2" t="s">
        <v>62</v>
      </c>
      <c r="K4" s="4">
        <v>1110000</v>
      </c>
      <c r="L4" s="11">
        <f>F2+F7+F4+F9</f>
        <v>0</v>
      </c>
    </row>
    <row r="5" spans="1:12" ht="16" thickBot="1" x14ac:dyDescent="0.4">
      <c r="A5" s="200"/>
      <c r="B5" s="207"/>
      <c r="C5" s="61" t="s">
        <v>68</v>
      </c>
      <c r="D5" s="9" t="s">
        <v>1</v>
      </c>
      <c r="E5" s="151">
        <v>510000</v>
      </c>
      <c r="F5" s="148">
        <v>0</v>
      </c>
      <c r="I5" s="35" t="s">
        <v>69</v>
      </c>
      <c r="J5" s="2" t="s">
        <v>13</v>
      </c>
      <c r="K5" s="54">
        <v>1120000</v>
      </c>
      <c r="L5" s="11">
        <f>F6</f>
        <v>0</v>
      </c>
    </row>
    <row r="6" spans="1:12" ht="15.5" x14ac:dyDescent="0.35">
      <c r="A6" s="211" t="s">
        <v>77</v>
      </c>
      <c r="B6" s="208" t="s">
        <v>75</v>
      </c>
      <c r="C6" s="62" t="s">
        <v>69</v>
      </c>
      <c r="D6" s="64" t="s">
        <v>0</v>
      </c>
      <c r="E6" s="153">
        <v>1120000</v>
      </c>
      <c r="F6" s="147">
        <v>0</v>
      </c>
      <c r="I6" s="35"/>
      <c r="J6" s="2"/>
      <c r="K6" s="54"/>
      <c r="L6" s="55"/>
    </row>
    <row r="7" spans="1:12" ht="16" thickBot="1" x14ac:dyDescent="0.4">
      <c r="A7" s="212"/>
      <c r="B7" s="209"/>
      <c r="C7" s="63" t="s">
        <v>65</v>
      </c>
      <c r="D7" s="30" t="s">
        <v>1</v>
      </c>
      <c r="E7" s="152">
        <v>1110000</v>
      </c>
      <c r="F7" s="148">
        <v>0</v>
      </c>
      <c r="I7" s="35"/>
      <c r="J7" s="2"/>
      <c r="K7" s="4"/>
      <c r="L7" s="11"/>
    </row>
    <row r="8" spans="1:12" ht="16" thickBot="1" x14ac:dyDescent="0.4">
      <c r="A8" s="212"/>
      <c r="B8" s="208" t="s">
        <v>76</v>
      </c>
      <c r="C8" s="58" t="s">
        <v>70</v>
      </c>
      <c r="D8" s="8" t="s">
        <v>1</v>
      </c>
      <c r="E8" s="152">
        <v>2200000</v>
      </c>
      <c r="F8" s="149">
        <v>0</v>
      </c>
      <c r="I8" s="40"/>
      <c r="J8" s="2"/>
      <c r="K8" s="4"/>
      <c r="L8" s="11"/>
    </row>
    <row r="9" spans="1:12" ht="16" thickBot="1" x14ac:dyDescent="0.4">
      <c r="A9" s="212"/>
      <c r="B9" s="209"/>
      <c r="C9" s="59" t="s">
        <v>66</v>
      </c>
      <c r="D9" s="9" t="s">
        <v>0</v>
      </c>
      <c r="E9" s="154">
        <v>1111000</v>
      </c>
      <c r="F9" s="146">
        <v>0</v>
      </c>
      <c r="I9" s="35" t="s">
        <v>70</v>
      </c>
      <c r="J9" s="2" t="s">
        <v>71</v>
      </c>
      <c r="K9" s="4">
        <v>2200000</v>
      </c>
      <c r="L9" s="11">
        <f>F8</f>
        <v>0</v>
      </c>
    </row>
    <row r="10" spans="1:12" ht="15.5" x14ac:dyDescent="0.35">
      <c r="F10" s="145"/>
      <c r="I10" s="1"/>
      <c r="J10" s="2"/>
      <c r="K10" s="4"/>
      <c r="L10" s="11"/>
    </row>
    <row r="11" spans="1:12" ht="15.5" x14ac:dyDescent="0.35">
      <c r="F11" s="145"/>
      <c r="I11" s="167" t="s">
        <v>15</v>
      </c>
      <c r="J11" s="168"/>
      <c r="K11" s="168"/>
      <c r="L11" s="169"/>
    </row>
    <row r="12" spans="1:12" ht="16" thickBot="1" x14ac:dyDescent="0.4">
      <c r="F12" s="145"/>
      <c r="I12" s="7" t="s">
        <v>14</v>
      </c>
      <c r="J12" s="6" t="s">
        <v>18</v>
      </c>
      <c r="K12" s="6" t="s">
        <v>16</v>
      </c>
      <c r="L12" s="6" t="s">
        <v>11</v>
      </c>
    </row>
    <row r="13" spans="1:12" ht="15.5" x14ac:dyDescent="0.35">
      <c r="F13" s="145"/>
      <c r="I13" s="51" t="s">
        <v>78</v>
      </c>
      <c r="J13" s="2" t="s">
        <v>19</v>
      </c>
      <c r="K13" s="2">
        <v>510000</v>
      </c>
      <c r="L13" s="11">
        <f>F5+F3</f>
        <v>0</v>
      </c>
    </row>
    <row r="14" spans="1:12" ht="15.5" x14ac:dyDescent="0.35">
      <c r="F14" s="145"/>
      <c r="I14" s="40"/>
      <c r="J14" s="2"/>
      <c r="K14" s="2"/>
      <c r="L14" s="11"/>
    </row>
    <row r="15" spans="1:12" ht="15.5" x14ac:dyDescent="0.35">
      <c r="F15" s="145"/>
      <c r="I15" s="1"/>
      <c r="J15" s="2"/>
      <c r="K15" s="2"/>
      <c r="L15" s="11"/>
    </row>
    <row r="16" spans="1:12" ht="15.5" x14ac:dyDescent="0.35">
      <c r="F16" s="145"/>
      <c r="I16" s="1"/>
      <c r="J16" s="2"/>
      <c r="K16" s="2"/>
      <c r="L16" s="11"/>
    </row>
    <row r="17" spans="9:12" ht="15.5" x14ac:dyDescent="0.35">
      <c r="I17" s="1"/>
      <c r="J17" s="2"/>
      <c r="K17" s="2"/>
      <c r="L17" s="11"/>
    </row>
    <row r="18" spans="9:12" ht="15.5" x14ac:dyDescent="0.35">
      <c r="I18" s="1"/>
      <c r="J18" s="2"/>
      <c r="K18" s="2"/>
      <c r="L18" s="11"/>
    </row>
    <row r="19" spans="9:12" ht="15.5" x14ac:dyDescent="0.35">
      <c r="I19" s="1"/>
      <c r="J19" s="2"/>
      <c r="K19" s="2"/>
      <c r="L19" s="11"/>
    </row>
    <row r="20" spans="9:12" ht="15.5" x14ac:dyDescent="0.35">
      <c r="I20" s="1"/>
      <c r="J20" s="2"/>
      <c r="K20" s="2"/>
      <c r="L20" s="11"/>
    </row>
    <row r="21" spans="9:12" ht="15.5" x14ac:dyDescent="0.35">
      <c r="I21" s="1"/>
      <c r="J21" s="2"/>
      <c r="K21" s="2"/>
      <c r="L21" s="11"/>
    </row>
    <row r="22" spans="9:12" ht="15.5" x14ac:dyDescent="0.35">
      <c r="I22" s="1"/>
      <c r="J22" s="2"/>
      <c r="K22" s="2"/>
      <c r="L22" s="11"/>
    </row>
    <row r="23" spans="9:12" ht="18.5" x14ac:dyDescent="0.45">
      <c r="I23" s="170" t="s">
        <v>17</v>
      </c>
      <c r="J23" s="171"/>
      <c r="K23" s="172"/>
      <c r="L23" s="12">
        <f>SUM(L13:L22)</f>
        <v>0</v>
      </c>
    </row>
  </sheetData>
  <mergeCells count="11">
    <mergeCell ref="I11:L11"/>
    <mergeCell ref="I23:K23"/>
    <mergeCell ref="A1:B1"/>
    <mergeCell ref="B2:B3"/>
    <mergeCell ref="B8:B9"/>
    <mergeCell ref="B4:B5"/>
    <mergeCell ref="A2:A5"/>
    <mergeCell ref="B6:B7"/>
    <mergeCell ref="A6:A9"/>
    <mergeCell ref="I1:L1"/>
    <mergeCell ref="I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PosInv">
                <anchor moveWithCells="1" sizeWithCells="1">
                  <from>
                    <xdr:col>0</xdr:col>
                    <xdr:colOff>95250</xdr:colOff>
                    <xdr:row>9</xdr:row>
                    <xdr:rowOff>76200</xdr:rowOff>
                  </from>
                  <to>
                    <xdr:col>2</xdr:col>
                    <xdr:colOff>1060450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gInv">
                <anchor moveWithCells="1" sizeWithCells="1">
                  <from>
                    <xdr:col>0</xdr:col>
                    <xdr:colOff>95250</xdr:colOff>
                    <xdr:row>11</xdr:row>
                    <xdr:rowOff>127000</xdr:rowOff>
                  </from>
                  <to>
                    <xdr:col>2</xdr:col>
                    <xdr:colOff>1060450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hip">
                <anchor moveWithCells="1" sizeWithCells="1">
                  <from>
                    <xdr:col>2</xdr:col>
                    <xdr:colOff>1314450</xdr:colOff>
                    <xdr:row>9</xdr:row>
                    <xdr:rowOff>76200</xdr:rowOff>
                  </from>
                  <to>
                    <xdr:col>5</xdr:col>
                    <xdr:colOff>603250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lear_Inv">
                <anchor moveWithCells="1" sizeWithCells="1">
                  <from>
                    <xdr:col>2</xdr:col>
                    <xdr:colOff>0</xdr:colOff>
                    <xdr:row>13</xdr:row>
                    <xdr:rowOff>203200</xdr:rowOff>
                  </from>
                  <to>
                    <xdr:col>2</xdr:col>
                    <xdr:colOff>2590800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receive">
                <anchor moveWithCells="1" sizeWithCells="1">
                  <from>
                    <xdr:col>2</xdr:col>
                    <xdr:colOff>1314450</xdr:colOff>
                    <xdr:row>11</xdr:row>
                    <xdr:rowOff>114300</xdr:rowOff>
                  </from>
                  <to>
                    <xdr:col>5</xdr:col>
                    <xdr:colOff>590550</xdr:colOff>
                    <xdr:row>13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97B70-0CA8-4DBC-B6A3-88D5A2A60A98}">
  <sheetPr codeName="Sheet5"/>
  <dimension ref="A1:O30"/>
  <sheetViews>
    <sheetView tabSelected="1" zoomScale="83" zoomScaleNormal="70" workbookViewId="0">
      <selection activeCell="Q28" sqref="Q28"/>
    </sheetView>
  </sheetViews>
  <sheetFormatPr defaultRowHeight="14.5" x14ac:dyDescent="0.35"/>
  <cols>
    <col min="1" max="1" width="22.54296875" customWidth="1"/>
    <col min="2" max="2" width="27.453125" customWidth="1"/>
    <col min="3" max="3" width="36.26953125" customWidth="1"/>
    <col min="5" max="5" width="11.54296875" customWidth="1"/>
    <col min="7" max="7" width="4.1796875" customWidth="1"/>
    <col min="8" max="8" width="24.26953125" customWidth="1"/>
    <col min="9" max="9" width="16" bestFit="1" customWidth="1"/>
    <col min="10" max="10" width="10.54296875" customWidth="1"/>
    <col min="12" max="12" width="2.1796875" customWidth="1"/>
    <col min="13" max="13" width="9.1796875" customWidth="1"/>
    <col min="14" max="14" width="14.54296875" customWidth="1"/>
    <col min="15" max="15" width="8.54296875" customWidth="1"/>
  </cols>
  <sheetData>
    <row r="1" spans="1:14" ht="16" thickBot="1" x14ac:dyDescent="0.4">
      <c r="A1" s="68"/>
      <c r="B1" s="36" t="s">
        <v>81</v>
      </c>
      <c r="C1" s="37" t="s">
        <v>9</v>
      </c>
      <c r="D1" s="38"/>
      <c r="E1" s="39" t="s">
        <v>10</v>
      </c>
      <c r="F1" s="39" t="s">
        <v>11</v>
      </c>
      <c r="H1" s="164" t="s">
        <v>12</v>
      </c>
      <c r="I1" s="166"/>
      <c r="J1" s="166"/>
      <c r="K1" s="165"/>
    </row>
    <row r="2" spans="1:14" ht="16" thickBot="1" x14ac:dyDescent="0.4">
      <c r="A2" s="220" t="s">
        <v>80</v>
      </c>
      <c r="B2" s="226" t="s">
        <v>82</v>
      </c>
      <c r="C2" s="62" t="s">
        <v>84</v>
      </c>
      <c r="D2" s="66" t="s">
        <v>1</v>
      </c>
      <c r="E2" s="8">
        <v>1000000</v>
      </c>
      <c r="F2" s="76">
        <v>0</v>
      </c>
      <c r="H2" s="167" t="s">
        <v>13</v>
      </c>
      <c r="I2" s="168"/>
      <c r="J2" s="168"/>
      <c r="K2" s="169"/>
    </row>
    <row r="3" spans="1:14" ht="16" thickBot="1" x14ac:dyDescent="0.4">
      <c r="A3" s="221"/>
      <c r="B3" s="227"/>
      <c r="C3" s="63" t="s">
        <v>89</v>
      </c>
      <c r="D3" s="67" t="s">
        <v>0</v>
      </c>
      <c r="E3" s="78">
        <v>1100001</v>
      </c>
      <c r="F3" s="76">
        <v>0</v>
      </c>
      <c r="H3" s="22" t="s">
        <v>14</v>
      </c>
      <c r="I3" s="22" t="s">
        <v>18</v>
      </c>
      <c r="J3" s="22" t="s">
        <v>16</v>
      </c>
      <c r="K3" s="22" t="s">
        <v>11</v>
      </c>
    </row>
    <row r="4" spans="1:14" ht="16" thickBot="1" x14ac:dyDescent="0.4">
      <c r="A4" s="221"/>
      <c r="B4" s="226" t="s">
        <v>83</v>
      </c>
      <c r="C4" s="58" t="s">
        <v>85</v>
      </c>
      <c r="D4" s="8" t="s">
        <v>1</v>
      </c>
      <c r="E4" s="80">
        <v>5100001</v>
      </c>
      <c r="F4" s="76">
        <v>0</v>
      </c>
      <c r="H4" s="35" t="s">
        <v>79</v>
      </c>
      <c r="I4" s="69" t="s">
        <v>62</v>
      </c>
      <c r="J4" s="4">
        <v>1000000</v>
      </c>
      <c r="K4" s="11">
        <f>F2</f>
        <v>0</v>
      </c>
      <c r="M4" s="92" t="s">
        <v>106</v>
      </c>
      <c r="N4" s="92"/>
    </row>
    <row r="5" spans="1:14" ht="16" thickBot="1" x14ac:dyDescent="0.4">
      <c r="A5" s="221"/>
      <c r="B5" s="227"/>
      <c r="C5" s="61" t="s">
        <v>87</v>
      </c>
      <c r="D5" s="9" t="s">
        <v>0</v>
      </c>
      <c r="E5" s="81">
        <v>1100002</v>
      </c>
      <c r="F5" s="76">
        <v>0</v>
      </c>
      <c r="H5" s="70" t="s">
        <v>89</v>
      </c>
      <c r="I5" s="69" t="s">
        <v>13</v>
      </c>
      <c r="J5" s="2">
        <v>1100001</v>
      </c>
      <c r="K5" s="11">
        <f>F3+F12+F8</f>
        <v>0</v>
      </c>
    </row>
    <row r="6" spans="1:14" ht="16" thickBot="1" x14ac:dyDescent="0.4">
      <c r="A6" s="221"/>
      <c r="B6" s="226" t="s">
        <v>88</v>
      </c>
      <c r="C6" s="62" t="s">
        <v>86</v>
      </c>
      <c r="D6" s="8" t="s">
        <v>1</v>
      </c>
      <c r="E6" s="140">
        <v>5100000</v>
      </c>
      <c r="F6" s="76">
        <v>0</v>
      </c>
      <c r="H6" s="35" t="s">
        <v>87</v>
      </c>
      <c r="I6" s="69" t="s">
        <v>13</v>
      </c>
      <c r="J6" s="2">
        <v>1100002</v>
      </c>
      <c r="K6" s="55">
        <f>F5+F7+F14+F16</f>
        <v>0</v>
      </c>
    </row>
    <row r="7" spans="1:14" ht="16" thickBot="1" x14ac:dyDescent="0.4">
      <c r="A7" s="221"/>
      <c r="B7" s="227"/>
      <c r="C7" s="63" t="s">
        <v>87</v>
      </c>
      <c r="D7" s="138" t="s">
        <v>1</v>
      </c>
      <c r="E7" s="140">
        <v>1100002</v>
      </c>
      <c r="F7" s="76">
        <v>0</v>
      </c>
      <c r="H7" s="35" t="s">
        <v>94</v>
      </c>
      <c r="I7" s="69" t="s">
        <v>13</v>
      </c>
      <c r="J7" s="2">
        <v>1100003</v>
      </c>
      <c r="K7" s="11">
        <f>F19+F23</f>
        <v>0</v>
      </c>
      <c r="M7" s="92" t="s">
        <v>105</v>
      </c>
      <c r="N7" s="92"/>
    </row>
    <row r="8" spans="1:14" ht="18" customHeight="1" thickBot="1" x14ac:dyDescent="0.4">
      <c r="A8" s="221"/>
      <c r="B8" s="223" t="s">
        <v>125</v>
      </c>
      <c r="C8" s="142" t="s">
        <v>89</v>
      </c>
      <c r="D8" s="139" t="s">
        <v>0</v>
      </c>
      <c r="E8" s="79">
        <v>1100001</v>
      </c>
      <c r="F8" s="76">
        <v>0</v>
      </c>
      <c r="H8" s="35"/>
      <c r="I8" s="69"/>
      <c r="J8" s="2"/>
      <c r="K8" s="11"/>
      <c r="M8" s="144"/>
      <c r="N8" s="144"/>
    </row>
    <row r="9" spans="1:14" ht="16" thickBot="1" x14ac:dyDescent="0.4">
      <c r="A9" s="221"/>
      <c r="B9" s="224"/>
      <c r="C9" s="142" t="s">
        <v>91</v>
      </c>
      <c r="D9" s="139" t="s">
        <v>1</v>
      </c>
      <c r="E9" s="141">
        <v>5100003</v>
      </c>
      <c r="F9" s="76">
        <v>0</v>
      </c>
      <c r="H9" s="35"/>
      <c r="I9" s="69"/>
      <c r="J9" s="2"/>
      <c r="K9" s="11"/>
      <c r="M9" s="144"/>
      <c r="N9" s="144"/>
    </row>
    <row r="10" spans="1:14" ht="18" customHeight="1" thickBot="1" x14ac:dyDescent="0.4">
      <c r="A10" s="221"/>
      <c r="B10" s="224"/>
      <c r="C10" s="142" t="s">
        <v>92</v>
      </c>
      <c r="D10" s="139" t="s">
        <v>0</v>
      </c>
      <c r="E10" s="141">
        <v>5100002</v>
      </c>
      <c r="F10" s="76">
        <v>0</v>
      </c>
      <c r="H10" s="35"/>
      <c r="I10" s="69"/>
      <c r="J10" s="2"/>
      <c r="K10" s="11"/>
      <c r="M10" s="144"/>
      <c r="N10" s="144"/>
    </row>
    <row r="11" spans="1:14" ht="16" thickBot="1" x14ac:dyDescent="0.4">
      <c r="A11" s="222"/>
      <c r="B11" s="225"/>
      <c r="C11" s="142" t="s">
        <v>58</v>
      </c>
      <c r="D11" s="139" t="s">
        <v>1</v>
      </c>
      <c r="E11" s="78">
        <v>5100004</v>
      </c>
      <c r="F11" s="76">
        <v>0</v>
      </c>
      <c r="H11" s="35"/>
      <c r="I11" s="69"/>
      <c r="J11" s="2"/>
      <c r="K11" s="11"/>
      <c r="M11" s="144"/>
      <c r="N11" s="144"/>
    </row>
    <row r="12" spans="1:14" ht="16" thickBot="1" x14ac:dyDescent="0.4">
      <c r="A12" s="217" t="s">
        <v>121</v>
      </c>
      <c r="B12" s="217" t="s">
        <v>90</v>
      </c>
      <c r="C12" s="73" t="s">
        <v>89</v>
      </c>
      <c r="D12" s="66" t="s">
        <v>1</v>
      </c>
      <c r="E12" s="80">
        <v>1100001</v>
      </c>
      <c r="F12" s="76">
        <v>0</v>
      </c>
      <c r="H12" s="35" t="s">
        <v>99</v>
      </c>
      <c r="I12" s="69" t="s">
        <v>13</v>
      </c>
      <c r="J12" s="2">
        <v>1100004</v>
      </c>
      <c r="K12" s="11">
        <f>F24+F20</f>
        <v>0</v>
      </c>
      <c r="M12" t="s">
        <v>102</v>
      </c>
    </row>
    <row r="13" spans="1:14" ht="16" thickBot="1" x14ac:dyDescent="0.4">
      <c r="A13" s="219"/>
      <c r="B13" s="218"/>
      <c r="C13" s="71" t="s">
        <v>91</v>
      </c>
      <c r="D13" s="67" t="s">
        <v>0</v>
      </c>
      <c r="E13" s="78">
        <v>5100003</v>
      </c>
      <c r="F13" s="76">
        <v>0</v>
      </c>
      <c r="H13" s="35" t="s">
        <v>60</v>
      </c>
      <c r="I13" s="2" t="s">
        <v>13</v>
      </c>
      <c r="J13" s="2">
        <v>1200000</v>
      </c>
      <c r="K13" s="85">
        <f>F22</f>
        <v>0</v>
      </c>
      <c r="M13" t="s">
        <v>103</v>
      </c>
    </row>
    <row r="14" spans="1:14" ht="19.5" customHeight="1" thickBot="1" x14ac:dyDescent="0.4">
      <c r="A14" s="219"/>
      <c r="B14" s="217" t="s">
        <v>83</v>
      </c>
      <c r="C14" s="74" t="s">
        <v>87</v>
      </c>
      <c r="D14" s="8" t="s">
        <v>1</v>
      </c>
      <c r="E14" s="79">
        <v>1100002</v>
      </c>
      <c r="F14" s="76">
        <v>0</v>
      </c>
      <c r="H14" s="133" t="s">
        <v>113</v>
      </c>
      <c r="I14" s="2" t="s">
        <v>13</v>
      </c>
      <c r="J14" s="4">
        <v>1210000</v>
      </c>
      <c r="K14" s="11">
        <f>F21</f>
        <v>0</v>
      </c>
      <c r="M14" t="s">
        <v>104</v>
      </c>
    </row>
    <row r="15" spans="1:14" ht="16" thickBot="1" x14ac:dyDescent="0.4">
      <c r="A15" s="219"/>
      <c r="B15" s="218"/>
      <c r="C15" s="75" t="s">
        <v>92</v>
      </c>
      <c r="D15" s="9" t="s">
        <v>0</v>
      </c>
      <c r="E15" s="78">
        <v>5100002</v>
      </c>
      <c r="F15" s="76">
        <v>0</v>
      </c>
      <c r="H15" s="35"/>
      <c r="I15" s="69"/>
      <c r="J15" s="4"/>
      <c r="K15" s="11"/>
    </row>
    <row r="16" spans="1:14" ht="16" thickBot="1" x14ac:dyDescent="0.4">
      <c r="A16" s="219"/>
      <c r="B16" s="217" t="s">
        <v>88</v>
      </c>
      <c r="C16" s="72" t="s">
        <v>87</v>
      </c>
      <c r="D16" s="8" t="s">
        <v>1</v>
      </c>
      <c r="E16" s="79">
        <v>1100002</v>
      </c>
      <c r="F16" s="76">
        <v>0</v>
      </c>
      <c r="H16" s="1"/>
      <c r="I16" s="2"/>
      <c r="J16" s="4"/>
      <c r="K16" s="11"/>
    </row>
    <row r="17" spans="1:15" ht="16" thickBot="1" x14ac:dyDescent="0.4">
      <c r="A17" s="219"/>
      <c r="B17" s="218"/>
      <c r="C17" s="71" t="s">
        <v>92</v>
      </c>
      <c r="D17" s="9" t="s">
        <v>0</v>
      </c>
      <c r="E17" s="78">
        <v>5100002</v>
      </c>
      <c r="F17" s="76">
        <v>0</v>
      </c>
      <c r="H17" s="167" t="s">
        <v>15</v>
      </c>
      <c r="I17" s="168"/>
      <c r="J17" s="168"/>
      <c r="K17" s="169"/>
    </row>
    <row r="18" spans="1:15" ht="20.25" customHeight="1" thickBot="1" x14ac:dyDescent="0.4">
      <c r="A18" s="219"/>
      <c r="B18" s="217" t="s">
        <v>95</v>
      </c>
      <c r="C18" s="62" t="s">
        <v>93</v>
      </c>
      <c r="D18" s="8" t="s">
        <v>1</v>
      </c>
      <c r="E18" s="79">
        <v>4100000</v>
      </c>
      <c r="F18" s="76">
        <v>0</v>
      </c>
      <c r="H18" s="86" t="s">
        <v>14</v>
      </c>
      <c r="I18" s="22" t="s">
        <v>18</v>
      </c>
      <c r="J18" s="6" t="s">
        <v>16</v>
      </c>
      <c r="K18" s="6" t="s">
        <v>11</v>
      </c>
      <c r="M18" s="93"/>
      <c r="N18" s="97" t="s">
        <v>64</v>
      </c>
      <c r="O18" s="94"/>
    </row>
    <row r="19" spans="1:15" ht="16" thickBot="1" x14ac:dyDescent="0.4">
      <c r="A19" s="218"/>
      <c r="B19" s="218"/>
      <c r="C19" s="63" t="s">
        <v>96</v>
      </c>
      <c r="D19" s="9" t="s">
        <v>0</v>
      </c>
      <c r="E19" s="78">
        <v>1100003</v>
      </c>
      <c r="F19" s="76">
        <v>0</v>
      </c>
      <c r="H19" s="88" t="s">
        <v>93</v>
      </c>
      <c r="I19" s="2" t="s">
        <v>64</v>
      </c>
      <c r="J19" s="2">
        <v>4100000</v>
      </c>
      <c r="K19" s="11">
        <f>F18</f>
        <v>0</v>
      </c>
      <c r="M19" s="95"/>
      <c r="N19" s="143"/>
      <c r="O19" s="96"/>
    </row>
    <row r="20" spans="1:15" ht="16" thickBot="1" x14ac:dyDescent="0.4">
      <c r="A20" s="213" t="s">
        <v>100</v>
      </c>
      <c r="B20" s="228" t="s">
        <v>55</v>
      </c>
      <c r="C20" s="63" t="s">
        <v>123</v>
      </c>
      <c r="D20" s="64" t="s">
        <v>1</v>
      </c>
      <c r="E20" s="78">
        <v>1100004</v>
      </c>
      <c r="F20" s="76">
        <v>0</v>
      </c>
      <c r="H20" s="88" t="s">
        <v>86</v>
      </c>
      <c r="I20" s="2" t="s">
        <v>101</v>
      </c>
      <c r="J20" s="2">
        <v>5100000</v>
      </c>
      <c r="K20" s="11">
        <f>F6</f>
        <v>0</v>
      </c>
      <c r="M20" s="82"/>
      <c r="N20" s="83"/>
      <c r="O20" s="84"/>
    </row>
    <row r="21" spans="1:15" ht="16" thickBot="1" x14ac:dyDescent="0.4">
      <c r="A21" s="214"/>
      <c r="B21" s="229"/>
      <c r="C21" s="134" t="s">
        <v>113</v>
      </c>
      <c r="D21" s="135" t="s">
        <v>0</v>
      </c>
      <c r="E21" s="81">
        <v>1210000</v>
      </c>
      <c r="F21" s="76">
        <v>0</v>
      </c>
      <c r="H21" s="88"/>
      <c r="I21" s="2"/>
      <c r="J21" s="2"/>
      <c r="K21" s="11"/>
    </row>
    <row r="22" spans="1:15" ht="16" thickBot="1" x14ac:dyDescent="0.4">
      <c r="A22" s="214"/>
      <c r="B22" s="230"/>
      <c r="C22" s="61" t="s">
        <v>60</v>
      </c>
      <c r="D22" s="30" t="s">
        <v>0</v>
      </c>
      <c r="E22" s="81">
        <v>1200000</v>
      </c>
      <c r="F22" s="76">
        <v>0</v>
      </c>
      <c r="H22" s="35" t="s">
        <v>85</v>
      </c>
      <c r="I22" s="2" t="s">
        <v>19</v>
      </c>
      <c r="J22" s="2">
        <v>5100001</v>
      </c>
      <c r="K22" s="11">
        <f>F4</f>
        <v>0</v>
      </c>
      <c r="M22" s="137" t="s">
        <v>124</v>
      </c>
      <c r="N22" s="136"/>
    </row>
    <row r="23" spans="1:15" ht="16" thickBot="1" x14ac:dyDescent="0.4">
      <c r="A23" s="215" t="s">
        <v>98</v>
      </c>
      <c r="B23" s="215" t="s">
        <v>97</v>
      </c>
      <c r="C23" s="90" t="s">
        <v>96</v>
      </c>
      <c r="D23" s="8" t="s">
        <v>1</v>
      </c>
      <c r="E23" s="8">
        <v>1100003</v>
      </c>
      <c r="F23" s="76">
        <v>0</v>
      </c>
      <c r="H23" s="89" t="s">
        <v>92</v>
      </c>
      <c r="I23" s="2" t="s">
        <v>19</v>
      </c>
      <c r="J23" s="2">
        <v>5100002</v>
      </c>
      <c r="K23" s="11">
        <f>F17+F15+F10</f>
        <v>0</v>
      </c>
    </row>
    <row r="24" spans="1:15" ht="16" thickBot="1" x14ac:dyDescent="0.4">
      <c r="A24" s="216"/>
      <c r="B24" s="216"/>
      <c r="C24" s="91" t="s">
        <v>99</v>
      </c>
      <c r="D24" s="78" t="s">
        <v>0</v>
      </c>
      <c r="E24" s="78">
        <v>1100004</v>
      </c>
      <c r="F24" s="76">
        <v>0</v>
      </c>
      <c r="H24" s="89" t="s">
        <v>91</v>
      </c>
      <c r="I24" s="2" t="s">
        <v>19</v>
      </c>
      <c r="J24" s="2">
        <v>5100003</v>
      </c>
      <c r="K24" s="11">
        <f>F13+F9</f>
        <v>0</v>
      </c>
      <c r="M24" s="132" t="s">
        <v>122</v>
      </c>
      <c r="N24" s="131">
        <v>0</v>
      </c>
    </row>
    <row r="25" spans="1:15" ht="15.75" customHeight="1" x14ac:dyDescent="0.35">
      <c r="H25" s="87" t="s">
        <v>58</v>
      </c>
      <c r="I25" s="2" t="s">
        <v>19</v>
      </c>
      <c r="J25" s="2">
        <v>5100004</v>
      </c>
      <c r="K25" s="11">
        <f>F11</f>
        <v>0</v>
      </c>
    </row>
    <row r="26" spans="1:15" ht="15.5" x14ac:dyDescent="0.35">
      <c r="H26" s="1"/>
      <c r="I26" s="2"/>
      <c r="J26" s="2"/>
      <c r="K26" s="11"/>
    </row>
    <row r="27" spans="1:15" ht="15.5" x14ac:dyDescent="0.35">
      <c r="H27" s="1"/>
      <c r="I27" s="2"/>
      <c r="J27" s="2"/>
      <c r="K27" s="11"/>
    </row>
    <row r="28" spans="1:15" ht="15.5" x14ac:dyDescent="0.35">
      <c r="H28" s="1"/>
      <c r="I28" s="2"/>
      <c r="J28" s="2"/>
      <c r="K28" s="11"/>
    </row>
    <row r="29" spans="1:15" ht="15.5" x14ac:dyDescent="0.35">
      <c r="H29" s="1"/>
      <c r="I29" s="2"/>
      <c r="J29" s="2"/>
      <c r="K29" s="11"/>
    </row>
    <row r="30" spans="1:15" ht="18.5" x14ac:dyDescent="0.45">
      <c r="H30" s="170" t="s">
        <v>17</v>
      </c>
      <c r="I30" s="171"/>
      <c r="J30" s="172"/>
      <c r="K30" s="12">
        <f>SUM(K19:K29)</f>
        <v>0</v>
      </c>
    </row>
  </sheetData>
  <mergeCells count="18">
    <mergeCell ref="H30:J30"/>
    <mergeCell ref="B2:B3"/>
    <mergeCell ref="B4:B5"/>
    <mergeCell ref="B6:B7"/>
    <mergeCell ref="B20:B22"/>
    <mergeCell ref="A2:A11"/>
    <mergeCell ref="B8:B11"/>
    <mergeCell ref="H1:K1"/>
    <mergeCell ref="H2:K2"/>
    <mergeCell ref="H17:K17"/>
    <mergeCell ref="A20:A22"/>
    <mergeCell ref="B23:B24"/>
    <mergeCell ref="A23:A24"/>
    <mergeCell ref="B12:B13"/>
    <mergeCell ref="B14:B15"/>
    <mergeCell ref="B16:B17"/>
    <mergeCell ref="B18:B19"/>
    <mergeCell ref="A12:A19"/>
  </mergeCells>
  <phoneticPr fontId="1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ostItem">
                <anchor moveWithCells="1" sizeWithCells="1">
                  <from>
                    <xdr:col>1</xdr:col>
                    <xdr:colOff>88900</xdr:colOff>
                    <xdr:row>25</xdr:row>
                    <xdr:rowOff>19050</xdr:rowOff>
                  </from>
                  <to>
                    <xdr:col>1</xdr:col>
                    <xdr:colOff>1562100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posthour">
                <anchor moveWithCells="1" sizeWithCells="1">
                  <from>
                    <xdr:col>2</xdr:col>
                    <xdr:colOff>1327150</xdr:colOff>
                    <xdr:row>25</xdr:row>
                    <xdr:rowOff>12700</xdr:rowOff>
                  </from>
                  <to>
                    <xdr:col>3</xdr:col>
                    <xdr:colOff>431800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postexpense">
                <anchor moveWithCells="1" sizeWithCells="1">
                  <from>
                    <xdr:col>1</xdr:col>
                    <xdr:colOff>1638300</xdr:colOff>
                    <xdr:row>25</xdr:row>
                    <xdr:rowOff>12700</xdr:rowOff>
                  </from>
                  <to>
                    <xdr:col>2</xdr:col>
                    <xdr:colOff>1231900</xdr:colOff>
                    <xdr:row>25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Button 6">
              <controlPr defaultSize="0" print="0" autoFill="0" autoPict="0" macro="[0]!estimatee">
                <anchor moveWithCells="1" sizeWithCells="1">
                  <from>
                    <xdr:col>1</xdr:col>
                    <xdr:colOff>88900</xdr:colOff>
                    <xdr:row>26</xdr:row>
                    <xdr:rowOff>69850</xdr:rowOff>
                  </from>
                  <to>
                    <xdr:col>1</xdr:col>
                    <xdr:colOff>1562100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inv">
                <anchor moveWithCells="1" sizeWithCells="1">
                  <from>
                    <xdr:col>1</xdr:col>
                    <xdr:colOff>1631950</xdr:colOff>
                    <xdr:row>26</xdr:row>
                    <xdr:rowOff>76200</xdr:rowOff>
                  </from>
                  <to>
                    <xdr:col>2</xdr:col>
                    <xdr:colOff>1231900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8" name="Button 8">
              <controlPr defaultSize="0" print="0" autoFill="0" autoPict="0" macro="[0]!elim">
                <anchor moveWithCells="1" sizeWithCells="1">
                  <from>
                    <xdr:col>3</xdr:col>
                    <xdr:colOff>495300</xdr:colOff>
                    <xdr:row>25</xdr:row>
                    <xdr:rowOff>19050</xdr:rowOff>
                  </from>
                  <to>
                    <xdr:col>6</xdr:col>
                    <xdr:colOff>203200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9" name="Button 9">
              <controlPr defaultSize="0" print="0" autoFill="0" autoPict="0" macro="[0]!clearProj">
                <anchor moveWithCells="1" sizeWithCells="1">
                  <from>
                    <xdr:col>0</xdr:col>
                    <xdr:colOff>298450</xdr:colOff>
                    <xdr:row>25</xdr:row>
                    <xdr:rowOff>165100</xdr:rowOff>
                  </from>
                  <to>
                    <xdr:col>0</xdr:col>
                    <xdr:colOff>1536700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INVRETENTION">
                <anchor moveWithCells="1" sizeWithCells="1">
                  <from>
                    <xdr:col>3</xdr:col>
                    <xdr:colOff>508000</xdr:colOff>
                    <xdr:row>26</xdr:row>
                    <xdr:rowOff>76200</xdr:rowOff>
                  </from>
                  <to>
                    <xdr:col>6</xdr:col>
                    <xdr:colOff>209550</xdr:colOff>
                    <xdr:row>27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1" name="Button 12">
              <controlPr defaultSize="0" print="0" autoFill="0" autoPict="0" macro="[0]!Rel_Retention">
                <anchor moveWithCells="1" sizeWithCells="1">
                  <from>
                    <xdr:col>2</xdr:col>
                    <xdr:colOff>1327150</xdr:colOff>
                    <xdr:row>26</xdr:row>
                    <xdr:rowOff>69850</xdr:rowOff>
                  </from>
                  <to>
                    <xdr:col>3</xdr:col>
                    <xdr:colOff>438150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Button 14">
              <controlPr defaultSize="0" print="0" autoFill="0" autoPict="0" macro="[0]!ItemReq">
                <anchor moveWithCells="1" sizeWithCells="1">
                  <from>
                    <xdr:col>1</xdr:col>
                    <xdr:colOff>69850</xdr:colOff>
                    <xdr:row>27</xdr:row>
                    <xdr:rowOff>114300</xdr:rowOff>
                  </from>
                  <to>
                    <xdr:col>1</xdr:col>
                    <xdr:colOff>1555750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26FF3-273B-4BD3-858F-172217CFDC6B}">
  <sheetPr codeName="Sheet6"/>
  <dimension ref="A1:K29"/>
  <sheetViews>
    <sheetView topLeftCell="A10" zoomScale="90" zoomScaleNormal="90" workbookViewId="0">
      <selection activeCell="C31" sqref="C31"/>
    </sheetView>
  </sheetViews>
  <sheetFormatPr defaultRowHeight="14.5" x14ac:dyDescent="0.35"/>
  <cols>
    <col min="1" max="1" width="24.1796875" bestFit="1" customWidth="1"/>
    <col min="2" max="2" width="21.81640625" customWidth="1"/>
    <col min="3" max="3" width="48.1796875" customWidth="1"/>
    <col min="7" max="7" width="4.1796875" customWidth="1"/>
    <col min="8" max="8" width="48" customWidth="1"/>
    <col min="9" max="9" width="16" bestFit="1" customWidth="1"/>
    <col min="12" max="12" width="2.1796875" customWidth="1"/>
    <col min="13" max="13" width="10" customWidth="1"/>
    <col min="14" max="14" width="10.26953125" customWidth="1"/>
    <col min="15" max="15" width="8.54296875" customWidth="1"/>
  </cols>
  <sheetData>
    <row r="1" spans="1:11" ht="16" thickBot="1" x14ac:dyDescent="0.4">
      <c r="A1" s="68"/>
      <c r="B1" s="36" t="s">
        <v>81</v>
      </c>
      <c r="C1" s="37" t="s">
        <v>9</v>
      </c>
      <c r="D1" s="38"/>
      <c r="E1" s="39" t="s">
        <v>10</v>
      </c>
      <c r="F1" s="39" t="s">
        <v>11</v>
      </c>
      <c r="H1" s="164" t="s">
        <v>12</v>
      </c>
      <c r="I1" s="166"/>
      <c r="J1" s="166"/>
      <c r="K1" s="165"/>
    </row>
    <row r="2" spans="1:11" ht="16" thickBot="1" x14ac:dyDescent="0.4">
      <c r="A2" s="220" t="s">
        <v>80</v>
      </c>
      <c r="B2" s="226" t="s">
        <v>82</v>
      </c>
      <c r="C2" s="62" t="s">
        <v>84</v>
      </c>
      <c r="D2" s="66" t="s">
        <v>1</v>
      </c>
      <c r="E2" s="8">
        <v>1000000</v>
      </c>
      <c r="F2" s="76">
        <v>0</v>
      </c>
      <c r="H2" s="167" t="s">
        <v>13</v>
      </c>
      <c r="I2" s="168"/>
      <c r="J2" s="168"/>
      <c r="K2" s="169"/>
    </row>
    <row r="3" spans="1:11" ht="16" thickBot="1" x14ac:dyDescent="0.4">
      <c r="A3" s="221"/>
      <c r="B3" s="227"/>
      <c r="C3" s="63" t="s">
        <v>89</v>
      </c>
      <c r="D3" s="67" t="s">
        <v>0</v>
      </c>
      <c r="E3" s="78">
        <v>1100001</v>
      </c>
      <c r="F3" s="76">
        <v>0</v>
      </c>
      <c r="H3" s="22" t="s">
        <v>14</v>
      </c>
      <c r="I3" s="22" t="s">
        <v>18</v>
      </c>
      <c r="J3" s="22" t="s">
        <v>16</v>
      </c>
      <c r="K3" s="22" t="s">
        <v>11</v>
      </c>
    </row>
    <row r="4" spans="1:11" ht="16" thickBot="1" x14ac:dyDescent="0.4">
      <c r="A4" s="221"/>
      <c r="B4" s="226" t="s">
        <v>83</v>
      </c>
      <c r="C4" s="58" t="s">
        <v>85</v>
      </c>
      <c r="D4" s="8" t="s">
        <v>1</v>
      </c>
      <c r="E4" s="80">
        <v>5100001</v>
      </c>
      <c r="F4" s="76">
        <v>0</v>
      </c>
      <c r="H4" s="35" t="s">
        <v>79</v>
      </c>
      <c r="I4" s="69" t="s">
        <v>62</v>
      </c>
      <c r="J4" s="4">
        <v>1000000</v>
      </c>
      <c r="K4" s="11">
        <f>F2</f>
        <v>0</v>
      </c>
    </row>
    <row r="5" spans="1:11" ht="16" thickBot="1" x14ac:dyDescent="0.4">
      <c r="A5" s="221"/>
      <c r="B5" s="227"/>
      <c r="C5" s="61" t="s">
        <v>87</v>
      </c>
      <c r="D5" s="9" t="s">
        <v>0</v>
      </c>
      <c r="E5" s="81">
        <v>1100002</v>
      </c>
      <c r="F5" s="76">
        <v>0</v>
      </c>
      <c r="H5" s="70" t="s">
        <v>89</v>
      </c>
      <c r="I5" s="69" t="s">
        <v>13</v>
      </c>
      <c r="J5" s="2">
        <v>1100001</v>
      </c>
      <c r="K5" s="11">
        <f>F3+F8</f>
        <v>0</v>
      </c>
    </row>
    <row r="6" spans="1:11" ht="16" thickBot="1" x14ac:dyDescent="0.4">
      <c r="A6" s="221"/>
      <c r="B6" s="226" t="s">
        <v>88</v>
      </c>
      <c r="C6" s="62" t="s">
        <v>86</v>
      </c>
      <c r="D6" s="64" t="s">
        <v>1</v>
      </c>
      <c r="E6" s="79">
        <v>5100000</v>
      </c>
      <c r="F6" s="76">
        <v>0</v>
      </c>
      <c r="H6" s="35" t="s">
        <v>87</v>
      </c>
      <c r="I6" s="69" t="s">
        <v>13</v>
      </c>
      <c r="J6" s="2">
        <v>1100002</v>
      </c>
      <c r="K6" s="55">
        <f>F5+F7+F10+F12</f>
        <v>0</v>
      </c>
    </row>
    <row r="7" spans="1:11" ht="16" thickBot="1" x14ac:dyDescent="0.4">
      <c r="A7" s="222"/>
      <c r="B7" s="227"/>
      <c r="C7" s="63" t="s">
        <v>87</v>
      </c>
      <c r="D7" s="30" t="s">
        <v>0</v>
      </c>
      <c r="E7" s="78">
        <v>1100002</v>
      </c>
      <c r="F7" s="76">
        <v>0</v>
      </c>
      <c r="H7" s="35"/>
      <c r="I7" s="69"/>
      <c r="J7" s="2"/>
      <c r="K7" s="11"/>
    </row>
    <row r="8" spans="1:11" ht="16" thickBot="1" x14ac:dyDescent="0.4">
      <c r="A8" s="231" t="s">
        <v>55</v>
      </c>
      <c r="B8" s="217" t="s">
        <v>90</v>
      </c>
      <c r="C8" s="102" t="s">
        <v>89</v>
      </c>
      <c r="D8" s="103" t="s">
        <v>1</v>
      </c>
      <c r="E8" s="104">
        <v>1100001</v>
      </c>
      <c r="F8" s="76">
        <v>0</v>
      </c>
      <c r="H8" s="35"/>
      <c r="I8" s="69"/>
      <c r="J8" s="2"/>
      <c r="K8" s="11"/>
    </row>
    <row r="9" spans="1:11" ht="16" thickBot="1" x14ac:dyDescent="0.4">
      <c r="A9" s="232"/>
      <c r="B9" s="218"/>
      <c r="C9" s="105" t="s">
        <v>91</v>
      </c>
      <c r="D9" s="106" t="s">
        <v>0</v>
      </c>
      <c r="E9" s="107">
        <v>5100003</v>
      </c>
      <c r="F9" s="76">
        <v>0</v>
      </c>
      <c r="H9" s="35" t="s">
        <v>60</v>
      </c>
      <c r="I9" s="2" t="s">
        <v>13</v>
      </c>
      <c r="J9" s="2">
        <v>1200000</v>
      </c>
      <c r="K9" s="85">
        <f>F16+F21+F23</f>
        <v>0</v>
      </c>
    </row>
    <row r="10" spans="1:11" ht="16" thickBot="1" x14ac:dyDescent="0.4">
      <c r="A10" s="232"/>
      <c r="B10" s="217" t="s">
        <v>83</v>
      </c>
      <c r="C10" s="108" t="s">
        <v>87</v>
      </c>
      <c r="D10" s="103" t="s">
        <v>1</v>
      </c>
      <c r="E10" s="104">
        <v>1100002</v>
      </c>
      <c r="F10" s="76">
        <v>0</v>
      </c>
      <c r="H10" s="35" t="s">
        <v>118</v>
      </c>
      <c r="I10" s="2" t="s">
        <v>13</v>
      </c>
      <c r="J10" s="4">
        <v>2100003</v>
      </c>
      <c r="K10" s="11">
        <f>F15+F19</f>
        <v>0</v>
      </c>
    </row>
    <row r="11" spans="1:11" ht="16" thickBot="1" x14ac:dyDescent="0.4">
      <c r="A11" s="232"/>
      <c r="B11" s="218"/>
      <c r="C11" s="109" t="s">
        <v>92</v>
      </c>
      <c r="D11" s="106" t="s">
        <v>0</v>
      </c>
      <c r="E11" s="107">
        <v>5100002</v>
      </c>
      <c r="F11" s="76">
        <v>0</v>
      </c>
      <c r="H11" s="35" t="s">
        <v>113</v>
      </c>
      <c r="I11" s="2" t="s">
        <v>13</v>
      </c>
      <c r="J11" s="4">
        <v>2100004</v>
      </c>
      <c r="K11" s="11">
        <f>F17+F22</f>
        <v>0</v>
      </c>
    </row>
    <row r="12" spans="1:11" ht="16" thickBot="1" x14ac:dyDescent="0.4">
      <c r="A12" s="232"/>
      <c r="B12" s="217" t="s">
        <v>88</v>
      </c>
      <c r="C12" s="110" t="s">
        <v>87</v>
      </c>
      <c r="D12" s="103" t="s">
        <v>1</v>
      </c>
      <c r="E12" s="104">
        <v>1100002</v>
      </c>
      <c r="F12" s="76">
        <v>0</v>
      </c>
      <c r="H12" s="1" t="s">
        <v>119</v>
      </c>
      <c r="I12" s="2" t="s">
        <v>13</v>
      </c>
      <c r="J12" s="4">
        <v>2100005</v>
      </c>
      <c r="K12" s="11">
        <f>F18+F20</f>
        <v>0</v>
      </c>
    </row>
    <row r="13" spans="1:11" ht="16" thickBot="1" x14ac:dyDescent="0.4">
      <c r="A13" s="232"/>
      <c r="B13" s="218"/>
      <c r="C13" s="122" t="s">
        <v>92</v>
      </c>
      <c r="D13" s="123" t="s">
        <v>0</v>
      </c>
      <c r="E13" s="107">
        <v>5100002</v>
      </c>
      <c r="F13" s="76">
        <v>0</v>
      </c>
      <c r="H13" s="167" t="s">
        <v>15</v>
      </c>
      <c r="I13" s="168"/>
      <c r="J13" s="168"/>
      <c r="K13" s="169"/>
    </row>
    <row r="14" spans="1:11" ht="20.25" customHeight="1" thickBot="1" x14ac:dyDescent="0.4">
      <c r="A14" s="232"/>
      <c r="B14" s="208" t="s">
        <v>117</v>
      </c>
      <c r="C14" s="111" t="s">
        <v>107</v>
      </c>
      <c r="D14" s="103" t="s">
        <v>1</v>
      </c>
      <c r="E14" s="120">
        <v>4100000</v>
      </c>
      <c r="F14" s="76">
        <v>0</v>
      </c>
      <c r="H14" s="86" t="s">
        <v>14</v>
      </c>
      <c r="I14" s="22" t="s">
        <v>18</v>
      </c>
      <c r="J14" s="6" t="s">
        <v>16</v>
      </c>
      <c r="K14" s="6" t="s">
        <v>11</v>
      </c>
    </row>
    <row r="15" spans="1:11" ht="16" thickBot="1" x14ac:dyDescent="0.4">
      <c r="A15" s="232"/>
      <c r="B15" s="233"/>
      <c r="C15" s="129" t="s">
        <v>118</v>
      </c>
      <c r="D15" s="127" t="s">
        <v>1</v>
      </c>
      <c r="E15" s="121">
        <v>2100003</v>
      </c>
      <c r="F15" s="76">
        <v>0</v>
      </c>
      <c r="H15" s="88" t="s">
        <v>93</v>
      </c>
      <c r="I15" s="2" t="s">
        <v>64</v>
      </c>
      <c r="J15" s="2">
        <v>4100000</v>
      </c>
      <c r="K15" s="11">
        <f>F14</f>
        <v>0</v>
      </c>
    </row>
    <row r="16" spans="1:11" ht="16" thickBot="1" x14ac:dyDescent="0.4">
      <c r="A16" s="232"/>
      <c r="B16" s="233"/>
      <c r="C16" s="129" t="s">
        <v>114</v>
      </c>
      <c r="D16" s="127" t="s">
        <v>0</v>
      </c>
      <c r="E16" s="121">
        <v>1200000</v>
      </c>
      <c r="F16" s="76">
        <v>0</v>
      </c>
      <c r="H16" s="88"/>
      <c r="I16" s="2"/>
      <c r="J16" s="2"/>
      <c r="K16" s="11"/>
    </row>
    <row r="17" spans="1:11" ht="16" thickBot="1" x14ac:dyDescent="0.4">
      <c r="A17" s="232"/>
      <c r="B17" s="233"/>
      <c r="C17" s="129" t="s">
        <v>113</v>
      </c>
      <c r="D17" s="127" t="s">
        <v>0</v>
      </c>
      <c r="E17" s="121">
        <v>2100004</v>
      </c>
      <c r="F17" s="76">
        <v>0</v>
      </c>
      <c r="H17" s="88"/>
      <c r="I17" s="2"/>
      <c r="J17" s="2"/>
      <c r="K17" s="11"/>
    </row>
    <row r="18" spans="1:11" ht="16" thickBot="1" x14ac:dyDescent="0.4">
      <c r="A18" s="232"/>
      <c r="B18" s="209"/>
      <c r="C18" s="112" t="s">
        <v>120</v>
      </c>
      <c r="D18" s="106" t="s">
        <v>0</v>
      </c>
      <c r="E18" s="121">
        <v>1100006</v>
      </c>
      <c r="F18" s="76">
        <v>0</v>
      </c>
      <c r="H18" s="88"/>
      <c r="I18" s="2"/>
      <c r="J18" s="2"/>
      <c r="K18" s="11"/>
    </row>
    <row r="19" spans="1:11" ht="16" thickBot="1" x14ac:dyDescent="0.4">
      <c r="A19" s="232"/>
      <c r="B19" s="217" t="s">
        <v>115</v>
      </c>
      <c r="C19" s="128" t="s">
        <v>118</v>
      </c>
      <c r="D19" s="124" t="s">
        <v>1</v>
      </c>
      <c r="E19" s="121">
        <v>2100003</v>
      </c>
      <c r="F19" s="76">
        <v>0</v>
      </c>
      <c r="H19" s="88" t="s">
        <v>86</v>
      </c>
      <c r="I19" s="2" t="s">
        <v>101</v>
      </c>
      <c r="J19" s="2">
        <v>5100000</v>
      </c>
      <c r="K19" s="11">
        <f>F6</f>
        <v>0</v>
      </c>
    </row>
    <row r="20" spans="1:11" ht="16" thickBot="1" x14ac:dyDescent="0.4">
      <c r="A20" s="232"/>
      <c r="B20" s="219"/>
      <c r="C20" s="112" t="s">
        <v>120</v>
      </c>
      <c r="D20" s="127" t="s">
        <v>1</v>
      </c>
      <c r="E20" s="121">
        <v>1100006</v>
      </c>
      <c r="F20" s="76">
        <v>0</v>
      </c>
      <c r="H20" s="88"/>
      <c r="I20" s="2"/>
      <c r="J20" s="2"/>
      <c r="K20" s="11"/>
    </row>
    <row r="21" spans="1:11" ht="16" thickBot="1" x14ac:dyDescent="0.4">
      <c r="A21" s="232"/>
      <c r="B21" s="218"/>
      <c r="C21" s="126" t="s">
        <v>114</v>
      </c>
      <c r="D21" s="127" t="s">
        <v>0</v>
      </c>
      <c r="E21" s="121">
        <v>1200000</v>
      </c>
      <c r="F21" s="76">
        <v>0</v>
      </c>
      <c r="H21" s="35" t="s">
        <v>85</v>
      </c>
      <c r="I21" s="2" t="s">
        <v>19</v>
      </c>
      <c r="J21" s="2">
        <v>5100001</v>
      </c>
      <c r="K21" s="11">
        <f>F4</f>
        <v>0</v>
      </c>
    </row>
    <row r="22" spans="1:11" ht="16" thickBot="1" x14ac:dyDescent="0.4">
      <c r="A22" s="232"/>
      <c r="B22" s="217" t="s">
        <v>116</v>
      </c>
      <c r="C22" s="125" t="s">
        <v>113</v>
      </c>
      <c r="D22" s="127" t="s">
        <v>1</v>
      </c>
      <c r="E22" s="121">
        <v>2100004</v>
      </c>
      <c r="F22" s="76">
        <v>0</v>
      </c>
      <c r="H22" s="89" t="s">
        <v>92</v>
      </c>
      <c r="I22" s="2" t="s">
        <v>19</v>
      </c>
      <c r="J22" s="2">
        <v>5100002</v>
      </c>
      <c r="K22" s="11">
        <f>F13+F11</f>
        <v>0</v>
      </c>
    </row>
    <row r="23" spans="1:11" ht="16" thickBot="1" x14ac:dyDescent="0.4">
      <c r="A23" s="232"/>
      <c r="B23" s="218"/>
      <c r="C23" s="126" t="s">
        <v>60</v>
      </c>
      <c r="D23" s="106" t="s">
        <v>0</v>
      </c>
      <c r="E23" s="121">
        <v>1200000</v>
      </c>
      <c r="F23" s="76">
        <v>0</v>
      </c>
      <c r="H23" s="89" t="s">
        <v>91</v>
      </c>
      <c r="I23" s="2" t="s">
        <v>19</v>
      </c>
      <c r="J23" s="2">
        <v>5100003</v>
      </c>
      <c r="K23" s="11">
        <f>F9</f>
        <v>0</v>
      </c>
    </row>
    <row r="24" spans="1:11" ht="15.5" x14ac:dyDescent="0.35">
      <c r="H24" s="87"/>
      <c r="I24" s="77"/>
      <c r="J24" s="2"/>
      <c r="K24" s="11"/>
    </row>
    <row r="25" spans="1:11" ht="15.5" x14ac:dyDescent="0.35">
      <c r="H25" s="1"/>
      <c r="I25" s="2"/>
      <c r="J25" s="2"/>
      <c r="K25" s="11"/>
    </row>
    <row r="26" spans="1:11" ht="15.5" x14ac:dyDescent="0.35">
      <c r="H26" s="1"/>
      <c r="I26" s="2"/>
      <c r="J26" s="2"/>
      <c r="K26" s="11"/>
    </row>
    <row r="27" spans="1:11" ht="15.5" x14ac:dyDescent="0.35">
      <c r="H27" s="1"/>
      <c r="I27" s="2"/>
      <c r="J27" s="2"/>
      <c r="K27" s="11"/>
    </row>
    <row r="28" spans="1:11" ht="15.5" x14ac:dyDescent="0.35">
      <c r="H28" s="1"/>
      <c r="I28" s="2"/>
      <c r="J28" s="2"/>
      <c r="K28" s="11"/>
    </row>
    <row r="29" spans="1:11" ht="18.5" x14ac:dyDescent="0.45">
      <c r="H29" s="170" t="s">
        <v>17</v>
      </c>
      <c r="I29" s="171"/>
      <c r="J29" s="172"/>
      <c r="K29" s="12">
        <f>SUM(K2:K28)</f>
        <v>0</v>
      </c>
    </row>
  </sheetData>
  <mergeCells count="15">
    <mergeCell ref="H29:J29"/>
    <mergeCell ref="B8:B9"/>
    <mergeCell ref="B10:B11"/>
    <mergeCell ref="B12:B13"/>
    <mergeCell ref="H13:K13"/>
    <mergeCell ref="B19:B21"/>
    <mergeCell ref="B22:B23"/>
    <mergeCell ref="B14:B18"/>
    <mergeCell ref="A8:A23"/>
    <mergeCell ref="H1:K1"/>
    <mergeCell ref="A2:A7"/>
    <mergeCell ref="B2:B3"/>
    <mergeCell ref="H2:K2"/>
    <mergeCell ref="B4:B5"/>
    <mergeCell ref="B6:B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postItem">
                <anchor moveWithCells="1" sizeWithCells="1">
                  <from>
                    <xdr:col>1</xdr:col>
                    <xdr:colOff>114300</xdr:colOff>
                    <xdr:row>23</xdr:row>
                    <xdr:rowOff>203200</xdr:rowOff>
                  </from>
                  <to>
                    <xdr:col>1</xdr:col>
                    <xdr:colOff>1536700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osthour">
                <anchor moveWithCells="1" sizeWithCells="1">
                  <from>
                    <xdr:col>3</xdr:col>
                    <xdr:colOff>355600</xdr:colOff>
                    <xdr:row>23</xdr:row>
                    <xdr:rowOff>203200</xdr:rowOff>
                  </from>
                  <to>
                    <xdr:col>5</xdr:col>
                    <xdr:colOff>546100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ostexpense">
                <anchor moveWithCells="1" sizeWithCells="1">
                  <from>
                    <xdr:col>2</xdr:col>
                    <xdr:colOff>857250</xdr:colOff>
                    <xdr:row>24</xdr:row>
                    <xdr:rowOff>12700</xdr:rowOff>
                  </from>
                  <to>
                    <xdr:col>2</xdr:col>
                    <xdr:colOff>2279650</xdr:colOff>
                    <xdr:row>24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estimatee">
                <anchor moveWithCells="1" sizeWithCells="1">
                  <from>
                    <xdr:col>2</xdr:col>
                    <xdr:colOff>857250</xdr:colOff>
                    <xdr:row>25</xdr:row>
                    <xdr:rowOff>184150</xdr:rowOff>
                  </from>
                  <to>
                    <xdr:col>2</xdr:col>
                    <xdr:colOff>2286000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7" name="Button 7">
              <controlPr defaultSize="0" print="0" autoFill="0" autoPict="0" macro="[0]!ckeartm">
                <anchor moveWithCells="1" sizeWithCells="1">
                  <from>
                    <xdr:col>0</xdr:col>
                    <xdr:colOff>209550</xdr:colOff>
                    <xdr:row>25</xdr:row>
                    <xdr:rowOff>57150</xdr:rowOff>
                  </from>
                  <to>
                    <xdr:col>0</xdr:col>
                    <xdr:colOff>1447800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8" name="Button 8">
              <controlPr defaultSize="0" print="0" autoFill="0" autoPict="0" macro="[0]!ADVINV">
                <anchor moveWithCells="1" sizeWithCells="1">
                  <from>
                    <xdr:col>1</xdr:col>
                    <xdr:colOff>114300</xdr:colOff>
                    <xdr:row>26</xdr:row>
                    <xdr:rowOff>31750</xdr:rowOff>
                  </from>
                  <to>
                    <xdr:col>1</xdr:col>
                    <xdr:colOff>1536700</xdr:colOff>
                    <xdr:row>27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9" name="Button 9">
              <controlPr defaultSize="0" print="0" autoFill="0" autoPict="0" macro="[0]!RRet">
                <anchor moveWithCells="1" sizeWithCells="1">
                  <from>
                    <xdr:col>3</xdr:col>
                    <xdr:colOff>323850</xdr:colOff>
                    <xdr:row>25</xdr:row>
                    <xdr:rowOff>203200</xdr:rowOff>
                  </from>
                  <to>
                    <xdr:col>5</xdr:col>
                    <xdr:colOff>514350</xdr:colOff>
                    <xdr:row>28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PROD POST</vt:lpstr>
      <vt:lpstr>Purchasing</vt:lpstr>
      <vt:lpstr>Sales</vt:lpstr>
      <vt:lpstr>Inventory</vt:lpstr>
      <vt:lpstr>Project-FP</vt:lpstr>
      <vt:lpstr>Project-TM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elbardisy</dc:creator>
  <cp:lastModifiedBy>Raja Saleem Abbas</cp:lastModifiedBy>
  <dcterms:created xsi:type="dcterms:W3CDTF">2022-05-31T14:05:22Z</dcterms:created>
  <dcterms:modified xsi:type="dcterms:W3CDTF">2025-09-30T04:34:33Z</dcterms:modified>
</cp:coreProperties>
</file>